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T OFFICER\Downloads\"/>
    </mc:Choice>
  </mc:AlternateContent>
  <bookViews>
    <workbookView xWindow="0" yWindow="0" windowWidth="23040" windowHeight="8196" tabRatio="500" activeTab="2"/>
  </bookViews>
  <sheets>
    <sheet name="README" sheetId="1" r:id="rId1"/>
    <sheet name="Engagement Log" sheetId="2" r:id="rId2"/>
    <sheet name="Dashboard" sheetId="3" r:id="rId3"/>
    <sheet name="Branch Heatmap" sheetId="4" r:id="rId4"/>
    <sheet name="Calendar View" sheetId="5" r:id="rId5"/>
    <sheet name="Branches &amp; Managers" sheetId="6" r:id="rId6"/>
    <sheet name="Institutions Directory" sheetId="7" r:id="rId7"/>
    <sheet name="Lookups" sheetId="8" state="hidden" r:id="rId8"/>
  </sheets>
  <definedNames>
    <definedName name="_xlnm._FilterDatabase" localSheetId="4" hidden="1">'Calendar View'!$A$4:$J$504</definedName>
    <definedName name="_xlnm._FilterDatabase" localSheetId="6" hidden="1">'Institutions Directory'!$A$4:$F$51</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J504" i="5" l="1"/>
  <c r="I504" i="5"/>
  <c r="H504" i="5"/>
  <c r="G504" i="5"/>
  <c r="F504" i="5"/>
  <c r="E504" i="5"/>
  <c r="D504" i="5"/>
  <c r="C504" i="5"/>
  <c r="B504" i="5"/>
  <c r="A504" i="5"/>
  <c r="J503" i="5"/>
  <c r="I503" i="5"/>
  <c r="H503" i="5"/>
  <c r="G503" i="5"/>
  <c r="F503" i="5"/>
  <c r="E503" i="5"/>
  <c r="D503" i="5"/>
  <c r="C503" i="5"/>
  <c r="B503" i="5"/>
  <c r="A503" i="5"/>
  <c r="J502" i="5"/>
  <c r="I502" i="5"/>
  <c r="H502" i="5"/>
  <c r="G502" i="5"/>
  <c r="F502" i="5"/>
  <c r="E502" i="5"/>
  <c r="D502" i="5"/>
  <c r="C502" i="5"/>
  <c r="B502" i="5"/>
  <c r="A502" i="5"/>
  <c r="J501" i="5"/>
  <c r="I501" i="5"/>
  <c r="H501" i="5"/>
  <c r="G501" i="5"/>
  <c r="F501" i="5"/>
  <c r="E501" i="5"/>
  <c r="D501" i="5"/>
  <c r="C501" i="5"/>
  <c r="B501" i="5"/>
  <c r="A501" i="5"/>
  <c r="J500" i="5"/>
  <c r="I500" i="5"/>
  <c r="H500" i="5"/>
  <c r="G500" i="5"/>
  <c r="F500" i="5"/>
  <c r="E500" i="5"/>
  <c r="D500" i="5"/>
  <c r="C500" i="5"/>
  <c r="B500" i="5"/>
  <c r="A500" i="5"/>
  <c r="J499" i="5"/>
  <c r="I499" i="5"/>
  <c r="H499" i="5"/>
  <c r="G499" i="5"/>
  <c r="F499" i="5"/>
  <c r="E499" i="5"/>
  <c r="D499" i="5"/>
  <c r="C499" i="5"/>
  <c r="B499" i="5"/>
  <c r="A499" i="5"/>
  <c r="J498" i="5"/>
  <c r="I498" i="5"/>
  <c r="H498" i="5"/>
  <c r="G498" i="5"/>
  <c r="F498" i="5"/>
  <c r="E498" i="5"/>
  <c r="D498" i="5"/>
  <c r="C498" i="5"/>
  <c r="B498" i="5"/>
  <c r="A498" i="5"/>
  <c r="J497" i="5"/>
  <c r="I497" i="5"/>
  <c r="H497" i="5"/>
  <c r="G497" i="5"/>
  <c r="F497" i="5"/>
  <c r="E497" i="5"/>
  <c r="D497" i="5"/>
  <c r="C497" i="5"/>
  <c r="B497" i="5"/>
  <c r="A497" i="5"/>
  <c r="J496" i="5"/>
  <c r="I496" i="5"/>
  <c r="H496" i="5"/>
  <c r="G496" i="5"/>
  <c r="F496" i="5"/>
  <c r="E496" i="5"/>
  <c r="D496" i="5"/>
  <c r="C496" i="5"/>
  <c r="B496" i="5"/>
  <c r="A496" i="5"/>
  <c r="J495" i="5"/>
  <c r="I495" i="5"/>
  <c r="H495" i="5"/>
  <c r="G495" i="5"/>
  <c r="F495" i="5"/>
  <c r="E495" i="5"/>
  <c r="D495" i="5"/>
  <c r="C495" i="5"/>
  <c r="B495" i="5"/>
  <c r="A495" i="5"/>
  <c r="J494" i="5"/>
  <c r="I494" i="5"/>
  <c r="H494" i="5"/>
  <c r="G494" i="5"/>
  <c r="F494" i="5"/>
  <c r="E494" i="5"/>
  <c r="D494" i="5"/>
  <c r="C494" i="5"/>
  <c r="B494" i="5"/>
  <c r="A494" i="5"/>
  <c r="J493" i="5"/>
  <c r="I493" i="5"/>
  <c r="H493" i="5"/>
  <c r="G493" i="5"/>
  <c r="F493" i="5"/>
  <c r="E493" i="5"/>
  <c r="D493" i="5"/>
  <c r="C493" i="5"/>
  <c r="B493" i="5"/>
  <c r="A493" i="5"/>
  <c r="J492" i="5"/>
  <c r="I492" i="5"/>
  <c r="H492" i="5"/>
  <c r="G492" i="5"/>
  <c r="F492" i="5"/>
  <c r="E492" i="5"/>
  <c r="D492" i="5"/>
  <c r="C492" i="5"/>
  <c r="B492" i="5"/>
  <c r="A492" i="5"/>
  <c r="J491" i="5"/>
  <c r="I491" i="5"/>
  <c r="H491" i="5"/>
  <c r="G491" i="5"/>
  <c r="F491" i="5"/>
  <c r="E491" i="5"/>
  <c r="D491" i="5"/>
  <c r="C491" i="5"/>
  <c r="B491" i="5"/>
  <c r="A491" i="5"/>
  <c r="J490" i="5"/>
  <c r="I490" i="5"/>
  <c r="H490" i="5"/>
  <c r="G490" i="5"/>
  <c r="F490" i="5"/>
  <c r="E490" i="5"/>
  <c r="D490" i="5"/>
  <c r="C490" i="5"/>
  <c r="B490" i="5"/>
  <c r="A490" i="5"/>
  <c r="J489" i="5"/>
  <c r="I489" i="5"/>
  <c r="H489" i="5"/>
  <c r="G489" i="5"/>
  <c r="F489" i="5"/>
  <c r="E489" i="5"/>
  <c r="D489" i="5"/>
  <c r="C489" i="5"/>
  <c r="B489" i="5"/>
  <c r="A489" i="5"/>
  <c r="J488" i="5"/>
  <c r="I488" i="5"/>
  <c r="H488" i="5"/>
  <c r="G488" i="5"/>
  <c r="F488" i="5"/>
  <c r="E488" i="5"/>
  <c r="D488" i="5"/>
  <c r="C488" i="5"/>
  <c r="B488" i="5"/>
  <c r="A488" i="5"/>
  <c r="J487" i="5"/>
  <c r="I487" i="5"/>
  <c r="H487" i="5"/>
  <c r="G487" i="5"/>
  <c r="F487" i="5"/>
  <c r="E487" i="5"/>
  <c r="D487" i="5"/>
  <c r="C487" i="5"/>
  <c r="B487" i="5"/>
  <c r="A487" i="5"/>
  <c r="J486" i="5"/>
  <c r="I486" i="5"/>
  <c r="H486" i="5"/>
  <c r="G486" i="5"/>
  <c r="F486" i="5"/>
  <c r="E486" i="5"/>
  <c r="D486" i="5"/>
  <c r="C486" i="5"/>
  <c r="B486" i="5"/>
  <c r="A486" i="5"/>
  <c r="J485" i="5"/>
  <c r="I485" i="5"/>
  <c r="H485" i="5"/>
  <c r="G485" i="5"/>
  <c r="F485" i="5"/>
  <c r="E485" i="5"/>
  <c r="D485" i="5"/>
  <c r="C485" i="5"/>
  <c r="B485" i="5"/>
  <c r="A485" i="5"/>
  <c r="J484" i="5"/>
  <c r="I484" i="5"/>
  <c r="H484" i="5"/>
  <c r="G484" i="5"/>
  <c r="F484" i="5"/>
  <c r="E484" i="5"/>
  <c r="D484" i="5"/>
  <c r="C484" i="5"/>
  <c r="B484" i="5"/>
  <c r="A484" i="5"/>
  <c r="J483" i="5"/>
  <c r="I483" i="5"/>
  <c r="H483" i="5"/>
  <c r="G483" i="5"/>
  <c r="F483" i="5"/>
  <c r="E483" i="5"/>
  <c r="D483" i="5"/>
  <c r="C483" i="5"/>
  <c r="B483" i="5"/>
  <c r="A483" i="5"/>
  <c r="J482" i="5"/>
  <c r="I482" i="5"/>
  <c r="H482" i="5"/>
  <c r="G482" i="5"/>
  <c r="F482" i="5"/>
  <c r="E482" i="5"/>
  <c r="D482" i="5"/>
  <c r="C482" i="5"/>
  <c r="B482" i="5"/>
  <c r="A482" i="5"/>
  <c r="J481" i="5"/>
  <c r="I481" i="5"/>
  <c r="H481" i="5"/>
  <c r="G481" i="5"/>
  <c r="F481" i="5"/>
  <c r="E481" i="5"/>
  <c r="D481" i="5"/>
  <c r="C481" i="5"/>
  <c r="B481" i="5"/>
  <c r="A481" i="5"/>
  <c r="J480" i="5"/>
  <c r="I480" i="5"/>
  <c r="H480" i="5"/>
  <c r="G480" i="5"/>
  <c r="F480" i="5"/>
  <c r="E480" i="5"/>
  <c r="D480" i="5"/>
  <c r="C480" i="5"/>
  <c r="B480" i="5"/>
  <c r="A480" i="5"/>
  <c r="J479" i="5"/>
  <c r="I479" i="5"/>
  <c r="H479" i="5"/>
  <c r="G479" i="5"/>
  <c r="F479" i="5"/>
  <c r="E479" i="5"/>
  <c r="D479" i="5"/>
  <c r="C479" i="5"/>
  <c r="B479" i="5"/>
  <c r="A479" i="5"/>
  <c r="J478" i="5"/>
  <c r="I478" i="5"/>
  <c r="H478" i="5"/>
  <c r="G478" i="5"/>
  <c r="F478" i="5"/>
  <c r="E478" i="5"/>
  <c r="D478" i="5"/>
  <c r="C478" i="5"/>
  <c r="B478" i="5"/>
  <c r="A478" i="5"/>
  <c r="J477" i="5"/>
  <c r="I477" i="5"/>
  <c r="H477" i="5"/>
  <c r="G477" i="5"/>
  <c r="F477" i="5"/>
  <c r="E477" i="5"/>
  <c r="D477" i="5"/>
  <c r="C477" i="5"/>
  <c r="B477" i="5"/>
  <c r="A477" i="5"/>
  <c r="J476" i="5"/>
  <c r="I476" i="5"/>
  <c r="H476" i="5"/>
  <c r="G476" i="5"/>
  <c r="F476" i="5"/>
  <c r="E476" i="5"/>
  <c r="D476" i="5"/>
  <c r="C476" i="5"/>
  <c r="B476" i="5"/>
  <c r="A476" i="5"/>
  <c r="J475" i="5"/>
  <c r="I475" i="5"/>
  <c r="H475" i="5"/>
  <c r="G475" i="5"/>
  <c r="F475" i="5"/>
  <c r="E475" i="5"/>
  <c r="D475" i="5"/>
  <c r="C475" i="5"/>
  <c r="B475" i="5"/>
  <c r="A475" i="5"/>
  <c r="J474" i="5"/>
  <c r="I474" i="5"/>
  <c r="H474" i="5"/>
  <c r="G474" i="5"/>
  <c r="F474" i="5"/>
  <c r="E474" i="5"/>
  <c r="D474" i="5"/>
  <c r="C474" i="5"/>
  <c r="B474" i="5"/>
  <c r="A474" i="5"/>
  <c r="J473" i="5"/>
  <c r="I473" i="5"/>
  <c r="H473" i="5"/>
  <c r="G473" i="5"/>
  <c r="F473" i="5"/>
  <c r="E473" i="5"/>
  <c r="D473" i="5"/>
  <c r="C473" i="5"/>
  <c r="B473" i="5"/>
  <c r="A473" i="5"/>
  <c r="J472" i="5"/>
  <c r="I472" i="5"/>
  <c r="H472" i="5"/>
  <c r="G472" i="5"/>
  <c r="F472" i="5"/>
  <c r="E472" i="5"/>
  <c r="D472" i="5"/>
  <c r="C472" i="5"/>
  <c r="B472" i="5"/>
  <c r="A472" i="5"/>
  <c r="J471" i="5"/>
  <c r="I471" i="5"/>
  <c r="H471" i="5"/>
  <c r="G471" i="5"/>
  <c r="F471" i="5"/>
  <c r="E471" i="5"/>
  <c r="D471" i="5"/>
  <c r="C471" i="5"/>
  <c r="B471" i="5"/>
  <c r="A471" i="5"/>
  <c r="J470" i="5"/>
  <c r="I470" i="5"/>
  <c r="H470" i="5"/>
  <c r="G470" i="5"/>
  <c r="F470" i="5"/>
  <c r="E470" i="5"/>
  <c r="D470" i="5"/>
  <c r="C470" i="5"/>
  <c r="B470" i="5"/>
  <c r="A470" i="5"/>
  <c r="J469" i="5"/>
  <c r="I469" i="5"/>
  <c r="H469" i="5"/>
  <c r="G469" i="5"/>
  <c r="F469" i="5"/>
  <c r="E469" i="5"/>
  <c r="D469" i="5"/>
  <c r="C469" i="5"/>
  <c r="B469" i="5"/>
  <c r="A469" i="5"/>
  <c r="J468" i="5"/>
  <c r="I468" i="5"/>
  <c r="H468" i="5"/>
  <c r="G468" i="5"/>
  <c r="F468" i="5"/>
  <c r="E468" i="5"/>
  <c r="D468" i="5"/>
  <c r="C468" i="5"/>
  <c r="B468" i="5"/>
  <c r="A468" i="5"/>
  <c r="J467" i="5"/>
  <c r="I467" i="5"/>
  <c r="H467" i="5"/>
  <c r="G467" i="5"/>
  <c r="F467" i="5"/>
  <c r="E467" i="5"/>
  <c r="D467" i="5"/>
  <c r="C467" i="5"/>
  <c r="B467" i="5"/>
  <c r="A467" i="5"/>
  <c r="J466" i="5"/>
  <c r="I466" i="5"/>
  <c r="H466" i="5"/>
  <c r="G466" i="5"/>
  <c r="F466" i="5"/>
  <c r="E466" i="5"/>
  <c r="D466" i="5"/>
  <c r="C466" i="5"/>
  <c r="B466" i="5"/>
  <c r="A466" i="5"/>
  <c r="J465" i="5"/>
  <c r="I465" i="5"/>
  <c r="H465" i="5"/>
  <c r="G465" i="5"/>
  <c r="F465" i="5"/>
  <c r="E465" i="5"/>
  <c r="D465" i="5"/>
  <c r="C465" i="5"/>
  <c r="B465" i="5"/>
  <c r="A465" i="5"/>
  <c r="J464" i="5"/>
  <c r="I464" i="5"/>
  <c r="H464" i="5"/>
  <c r="G464" i="5"/>
  <c r="F464" i="5"/>
  <c r="E464" i="5"/>
  <c r="D464" i="5"/>
  <c r="C464" i="5"/>
  <c r="B464" i="5"/>
  <c r="A464" i="5"/>
  <c r="J463" i="5"/>
  <c r="I463" i="5"/>
  <c r="H463" i="5"/>
  <c r="G463" i="5"/>
  <c r="F463" i="5"/>
  <c r="E463" i="5"/>
  <c r="D463" i="5"/>
  <c r="C463" i="5"/>
  <c r="B463" i="5"/>
  <c r="A463" i="5"/>
  <c r="J462" i="5"/>
  <c r="I462" i="5"/>
  <c r="H462" i="5"/>
  <c r="G462" i="5"/>
  <c r="F462" i="5"/>
  <c r="E462" i="5"/>
  <c r="D462" i="5"/>
  <c r="C462" i="5"/>
  <c r="B462" i="5"/>
  <c r="A462" i="5"/>
  <c r="J461" i="5"/>
  <c r="I461" i="5"/>
  <c r="H461" i="5"/>
  <c r="G461" i="5"/>
  <c r="F461" i="5"/>
  <c r="E461" i="5"/>
  <c r="D461" i="5"/>
  <c r="C461" i="5"/>
  <c r="B461" i="5"/>
  <c r="A461" i="5"/>
  <c r="J460" i="5"/>
  <c r="I460" i="5"/>
  <c r="H460" i="5"/>
  <c r="G460" i="5"/>
  <c r="F460" i="5"/>
  <c r="E460" i="5"/>
  <c r="D460" i="5"/>
  <c r="C460" i="5"/>
  <c r="B460" i="5"/>
  <c r="A460" i="5"/>
  <c r="J459" i="5"/>
  <c r="I459" i="5"/>
  <c r="H459" i="5"/>
  <c r="G459" i="5"/>
  <c r="F459" i="5"/>
  <c r="E459" i="5"/>
  <c r="D459" i="5"/>
  <c r="C459" i="5"/>
  <c r="B459" i="5"/>
  <c r="A459" i="5"/>
  <c r="J458" i="5"/>
  <c r="I458" i="5"/>
  <c r="H458" i="5"/>
  <c r="G458" i="5"/>
  <c r="F458" i="5"/>
  <c r="E458" i="5"/>
  <c r="D458" i="5"/>
  <c r="C458" i="5"/>
  <c r="B458" i="5"/>
  <c r="A458" i="5"/>
  <c r="J457" i="5"/>
  <c r="I457" i="5"/>
  <c r="H457" i="5"/>
  <c r="G457" i="5"/>
  <c r="F457" i="5"/>
  <c r="E457" i="5"/>
  <c r="D457" i="5"/>
  <c r="C457" i="5"/>
  <c r="B457" i="5"/>
  <c r="A457" i="5"/>
  <c r="J456" i="5"/>
  <c r="I456" i="5"/>
  <c r="H456" i="5"/>
  <c r="G456" i="5"/>
  <c r="F456" i="5"/>
  <c r="E456" i="5"/>
  <c r="D456" i="5"/>
  <c r="C456" i="5"/>
  <c r="B456" i="5"/>
  <c r="A456" i="5"/>
  <c r="J455" i="5"/>
  <c r="I455" i="5"/>
  <c r="H455" i="5"/>
  <c r="G455" i="5"/>
  <c r="F455" i="5"/>
  <c r="E455" i="5"/>
  <c r="D455" i="5"/>
  <c r="C455" i="5"/>
  <c r="B455" i="5"/>
  <c r="A455" i="5"/>
  <c r="J454" i="5"/>
  <c r="I454" i="5"/>
  <c r="H454" i="5"/>
  <c r="G454" i="5"/>
  <c r="F454" i="5"/>
  <c r="E454" i="5"/>
  <c r="D454" i="5"/>
  <c r="C454" i="5"/>
  <c r="B454" i="5"/>
  <c r="A454" i="5"/>
  <c r="J453" i="5"/>
  <c r="I453" i="5"/>
  <c r="H453" i="5"/>
  <c r="G453" i="5"/>
  <c r="F453" i="5"/>
  <c r="E453" i="5"/>
  <c r="D453" i="5"/>
  <c r="C453" i="5"/>
  <c r="B453" i="5"/>
  <c r="A453" i="5"/>
  <c r="J452" i="5"/>
  <c r="I452" i="5"/>
  <c r="H452" i="5"/>
  <c r="G452" i="5"/>
  <c r="F452" i="5"/>
  <c r="E452" i="5"/>
  <c r="D452" i="5"/>
  <c r="C452" i="5"/>
  <c r="B452" i="5"/>
  <c r="A452" i="5"/>
  <c r="J451" i="5"/>
  <c r="I451" i="5"/>
  <c r="H451" i="5"/>
  <c r="G451" i="5"/>
  <c r="F451" i="5"/>
  <c r="E451" i="5"/>
  <c r="D451" i="5"/>
  <c r="C451" i="5"/>
  <c r="B451" i="5"/>
  <c r="A451" i="5"/>
  <c r="J450" i="5"/>
  <c r="I450" i="5"/>
  <c r="H450" i="5"/>
  <c r="G450" i="5"/>
  <c r="F450" i="5"/>
  <c r="E450" i="5"/>
  <c r="D450" i="5"/>
  <c r="C450" i="5"/>
  <c r="B450" i="5"/>
  <c r="A450" i="5"/>
  <c r="J449" i="5"/>
  <c r="I449" i="5"/>
  <c r="H449" i="5"/>
  <c r="G449" i="5"/>
  <c r="F449" i="5"/>
  <c r="E449" i="5"/>
  <c r="D449" i="5"/>
  <c r="C449" i="5"/>
  <c r="B449" i="5"/>
  <c r="A449" i="5"/>
  <c r="J448" i="5"/>
  <c r="I448" i="5"/>
  <c r="H448" i="5"/>
  <c r="G448" i="5"/>
  <c r="F448" i="5"/>
  <c r="E448" i="5"/>
  <c r="D448" i="5"/>
  <c r="C448" i="5"/>
  <c r="B448" i="5"/>
  <c r="A448" i="5"/>
  <c r="J447" i="5"/>
  <c r="I447" i="5"/>
  <c r="H447" i="5"/>
  <c r="G447" i="5"/>
  <c r="F447" i="5"/>
  <c r="E447" i="5"/>
  <c r="D447" i="5"/>
  <c r="C447" i="5"/>
  <c r="B447" i="5"/>
  <c r="A447" i="5"/>
  <c r="J446" i="5"/>
  <c r="I446" i="5"/>
  <c r="H446" i="5"/>
  <c r="G446" i="5"/>
  <c r="F446" i="5"/>
  <c r="E446" i="5"/>
  <c r="D446" i="5"/>
  <c r="C446" i="5"/>
  <c r="B446" i="5"/>
  <c r="A446" i="5"/>
  <c r="J445" i="5"/>
  <c r="I445" i="5"/>
  <c r="H445" i="5"/>
  <c r="G445" i="5"/>
  <c r="F445" i="5"/>
  <c r="E445" i="5"/>
  <c r="D445" i="5"/>
  <c r="C445" i="5"/>
  <c r="B445" i="5"/>
  <c r="A445" i="5"/>
  <c r="J444" i="5"/>
  <c r="I444" i="5"/>
  <c r="H444" i="5"/>
  <c r="G444" i="5"/>
  <c r="F444" i="5"/>
  <c r="E444" i="5"/>
  <c r="D444" i="5"/>
  <c r="C444" i="5"/>
  <c r="B444" i="5"/>
  <c r="A444" i="5"/>
  <c r="J443" i="5"/>
  <c r="I443" i="5"/>
  <c r="H443" i="5"/>
  <c r="G443" i="5"/>
  <c r="F443" i="5"/>
  <c r="E443" i="5"/>
  <c r="D443" i="5"/>
  <c r="C443" i="5"/>
  <c r="B443" i="5"/>
  <c r="A443" i="5"/>
  <c r="J442" i="5"/>
  <c r="I442" i="5"/>
  <c r="H442" i="5"/>
  <c r="G442" i="5"/>
  <c r="F442" i="5"/>
  <c r="E442" i="5"/>
  <c r="D442" i="5"/>
  <c r="C442" i="5"/>
  <c r="B442" i="5"/>
  <c r="A442" i="5"/>
  <c r="J441" i="5"/>
  <c r="I441" i="5"/>
  <c r="H441" i="5"/>
  <c r="G441" i="5"/>
  <c r="F441" i="5"/>
  <c r="E441" i="5"/>
  <c r="D441" i="5"/>
  <c r="C441" i="5"/>
  <c r="B441" i="5"/>
  <c r="A441" i="5"/>
  <c r="J440" i="5"/>
  <c r="I440" i="5"/>
  <c r="H440" i="5"/>
  <c r="G440" i="5"/>
  <c r="F440" i="5"/>
  <c r="E440" i="5"/>
  <c r="D440" i="5"/>
  <c r="C440" i="5"/>
  <c r="B440" i="5"/>
  <c r="A440" i="5"/>
  <c r="J439" i="5"/>
  <c r="I439" i="5"/>
  <c r="H439" i="5"/>
  <c r="G439" i="5"/>
  <c r="F439" i="5"/>
  <c r="E439" i="5"/>
  <c r="D439" i="5"/>
  <c r="C439" i="5"/>
  <c r="B439" i="5"/>
  <c r="A439" i="5"/>
  <c r="J438" i="5"/>
  <c r="I438" i="5"/>
  <c r="H438" i="5"/>
  <c r="G438" i="5"/>
  <c r="F438" i="5"/>
  <c r="E438" i="5"/>
  <c r="D438" i="5"/>
  <c r="C438" i="5"/>
  <c r="B438" i="5"/>
  <c r="A438" i="5"/>
  <c r="J437" i="5"/>
  <c r="I437" i="5"/>
  <c r="H437" i="5"/>
  <c r="G437" i="5"/>
  <c r="F437" i="5"/>
  <c r="E437" i="5"/>
  <c r="D437" i="5"/>
  <c r="C437" i="5"/>
  <c r="B437" i="5"/>
  <c r="A437" i="5"/>
  <c r="J436" i="5"/>
  <c r="I436" i="5"/>
  <c r="H436" i="5"/>
  <c r="G436" i="5"/>
  <c r="F436" i="5"/>
  <c r="E436" i="5"/>
  <c r="D436" i="5"/>
  <c r="C436" i="5"/>
  <c r="B436" i="5"/>
  <c r="A436" i="5"/>
  <c r="J435" i="5"/>
  <c r="I435" i="5"/>
  <c r="H435" i="5"/>
  <c r="G435" i="5"/>
  <c r="F435" i="5"/>
  <c r="E435" i="5"/>
  <c r="D435" i="5"/>
  <c r="C435" i="5"/>
  <c r="B435" i="5"/>
  <c r="A435" i="5"/>
  <c r="J434" i="5"/>
  <c r="I434" i="5"/>
  <c r="H434" i="5"/>
  <c r="G434" i="5"/>
  <c r="F434" i="5"/>
  <c r="E434" i="5"/>
  <c r="D434" i="5"/>
  <c r="C434" i="5"/>
  <c r="B434" i="5"/>
  <c r="A434" i="5"/>
  <c r="J433" i="5"/>
  <c r="I433" i="5"/>
  <c r="H433" i="5"/>
  <c r="G433" i="5"/>
  <c r="F433" i="5"/>
  <c r="E433" i="5"/>
  <c r="D433" i="5"/>
  <c r="C433" i="5"/>
  <c r="B433" i="5"/>
  <c r="A433" i="5"/>
  <c r="J432" i="5"/>
  <c r="I432" i="5"/>
  <c r="H432" i="5"/>
  <c r="G432" i="5"/>
  <c r="F432" i="5"/>
  <c r="E432" i="5"/>
  <c r="D432" i="5"/>
  <c r="C432" i="5"/>
  <c r="B432" i="5"/>
  <c r="A432" i="5"/>
  <c r="J431" i="5"/>
  <c r="I431" i="5"/>
  <c r="H431" i="5"/>
  <c r="G431" i="5"/>
  <c r="F431" i="5"/>
  <c r="E431" i="5"/>
  <c r="D431" i="5"/>
  <c r="C431" i="5"/>
  <c r="B431" i="5"/>
  <c r="A431" i="5"/>
  <c r="J430" i="5"/>
  <c r="I430" i="5"/>
  <c r="H430" i="5"/>
  <c r="G430" i="5"/>
  <c r="F430" i="5"/>
  <c r="E430" i="5"/>
  <c r="D430" i="5"/>
  <c r="C430" i="5"/>
  <c r="B430" i="5"/>
  <c r="A430" i="5"/>
  <c r="J429" i="5"/>
  <c r="I429" i="5"/>
  <c r="H429" i="5"/>
  <c r="G429" i="5"/>
  <c r="F429" i="5"/>
  <c r="E429" i="5"/>
  <c r="D429" i="5"/>
  <c r="C429" i="5"/>
  <c r="B429" i="5"/>
  <c r="A429" i="5"/>
  <c r="J428" i="5"/>
  <c r="I428" i="5"/>
  <c r="H428" i="5"/>
  <c r="G428" i="5"/>
  <c r="F428" i="5"/>
  <c r="E428" i="5"/>
  <c r="D428" i="5"/>
  <c r="C428" i="5"/>
  <c r="B428" i="5"/>
  <c r="A428" i="5"/>
  <c r="J427" i="5"/>
  <c r="I427" i="5"/>
  <c r="H427" i="5"/>
  <c r="G427" i="5"/>
  <c r="F427" i="5"/>
  <c r="E427" i="5"/>
  <c r="D427" i="5"/>
  <c r="C427" i="5"/>
  <c r="B427" i="5"/>
  <c r="A427" i="5"/>
  <c r="J426" i="5"/>
  <c r="I426" i="5"/>
  <c r="H426" i="5"/>
  <c r="G426" i="5"/>
  <c r="F426" i="5"/>
  <c r="E426" i="5"/>
  <c r="D426" i="5"/>
  <c r="C426" i="5"/>
  <c r="B426" i="5"/>
  <c r="A426" i="5"/>
  <c r="J425" i="5"/>
  <c r="I425" i="5"/>
  <c r="H425" i="5"/>
  <c r="G425" i="5"/>
  <c r="F425" i="5"/>
  <c r="E425" i="5"/>
  <c r="D425" i="5"/>
  <c r="C425" i="5"/>
  <c r="B425" i="5"/>
  <c r="A425" i="5"/>
  <c r="J424" i="5"/>
  <c r="I424" i="5"/>
  <c r="H424" i="5"/>
  <c r="G424" i="5"/>
  <c r="F424" i="5"/>
  <c r="E424" i="5"/>
  <c r="D424" i="5"/>
  <c r="C424" i="5"/>
  <c r="B424" i="5"/>
  <c r="A424" i="5"/>
  <c r="J423" i="5"/>
  <c r="I423" i="5"/>
  <c r="H423" i="5"/>
  <c r="G423" i="5"/>
  <c r="F423" i="5"/>
  <c r="E423" i="5"/>
  <c r="D423" i="5"/>
  <c r="C423" i="5"/>
  <c r="B423" i="5"/>
  <c r="A423" i="5"/>
  <c r="J422" i="5"/>
  <c r="I422" i="5"/>
  <c r="H422" i="5"/>
  <c r="G422" i="5"/>
  <c r="F422" i="5"/>
  <c r="E422" i="5"/>
  <c r="D422" i="5"/>
  <c r="C422" i="5"/>
  <c r="B422" i="5"/>
  <c r="A422" i="5"/>
  <c r="J421" i="5"/>
  <c r="I421" i="5"/>
  <c r="H421" i="5"/>
  <c r="G421" i="5"/>
  <c r="F421" i="5"/>
  <c r="E421" i="5"/>
  <c r="D421" i="5"/>
  <c r="C421" i="5"/>
  <c r="B421" i="5"/>
  <c r="A421" i="5"/>
  <c r="J420" i="5"/>
  <c r="I420" i="5"/>
  <c r="H420" i="5"/>
  <c r="G420" i="5"/>
  <c r="F420" i="5"/>
  <c r="E420" i="5"/>
  <c r="D420" i="5"/>
  <c r="C420" i="5"/>
  <c r="B420" i="5"/>
  <c r="A420" i="5"/>
  <c r="J419" i="5"/>
  <c r="I419" i="5"/>
  <c r="H419" i="5"/>
  <c r="G419" i="5"/>
  <c r="F419" i="5"/>
  <c r="E419" i="5"/>
  <c r="D419" i="5"/>
  <c r="C419" i="5"/>
  <c r="B419" i="5"/>
  <c r="A419" i="5"/>
  <c r="J418" i="5"/>
  <c r="I418" i="5"/>
  <c r="H418" i="5"/>
  <c r="G418" i="5"/>
  <c r="F418" i="5"/>
  <c r="E418" i="5"/>
  <c r="D418" i="5"/>
  <c r="C418" i="5"/>
  <c r="B418" i="5"/>
  <c r="A418" i="5"/>
  <c r="J417" i="5"/>
  <c r="I417" i="5"/>
  <c r="H417" i="5"/>
  <c r="G417" i="5"/>
  <c r="F417" i="5"/>
  <c r="E417" i="5"/>
  <c r="D417" i="5"/>
  <c r="C417" i="5"/>
  <c r="B417" i="5"/>
  <c r="A417" i="5"/>
  <c r="J416" i="5"/>
  <c r="I416" i="5"/>
  <c r="H416" i="5"/>
  <c r="G416" i="5"/>
  <c r="F416" i="5"/>
  <c r="E416" i="5"/>
  <c r="D416" i="5"/>
  <c r="C416" i="5"/>
  <c r="B416" i="5"/>
  <c r="A416" i="5"/>
  <c r="J415" i="5"/>
  <c r="I415" i="5"/>
  <c r="H415" i="5"/>
  <c r="G415" i="5"/>
  <c r="F415" i="5"/>
  <c r="E415" i="5"/>
  <c r="D415" i="5"/>
  <c r="C415" i="5"/>
  <c r="B415" i="5"/>
  <c r="A415" i="5"/>
  <c r="J414" i="5"/>
  <c r="I414" i="5"/>
  <c r="H414" i="5"/>
  <c r="G414" i="5"/>
  <c r="F414" i="5"/>
  <c r="E414" i="5"/>
  <c r="D414" i="5"/>
  <c r="C414" i="5"/>
  <c r="B414" i="5"/>
  <c r="A414" i="5"/>
  <c r="J413" i="5"/>
  <c r="I413" i="5"/>
  <c r="H413" i="5"/>
  <c r="G413" i="5"/>
  <c r="F413" i="5"/>
  <c r="E413" i="5"/>
  <c r="D413" i="5"/>
  <c r="C413" i="5"/>
  <c r="B413" i="5"/>
  <c r="A413" i="5"/>
  <c r="J412" i="5"/>
  <c r="I412" i="5"/>
  <c r="H412" i="5"/>
  <c r="G412" i="5"/>
  <c r="F412" i="5"/>
  <c r="E412" i="5"/>
  <c r="D412" i="5"/>
  <c r="C412" i="5"/>
  <c r="B412" i="5"/>
  <c r="A412" i="5"/>
  <c r="J411" i="5"/>
  <c r="I411" i="5"/>
  <c r="H411" i="5"/>
  <c r="G411" i="5"/>
  <c r="F411" i="5"/>
  <c r="E411" i="5"/>
  <c r="D411" i="5"/>
  <c r="C411" i="5"/>
  <c r="B411" i="5"/>
  <c r="A411" i="5"/>
  <c r="J410" i="5"/>
  <c r="I410" i="5"/>
  <c r="H410" i="5"/>
  <c r="G410" i="5"/>
  <c r="F410" i="5"/>
  <c r="E410" i="5"/>
  <c r="D410" i="5"/>
  <c r="C410" i="5"/>
  <c r="B410" i="5"/>
  <c r="A410" i="5"/>
  <c r="J409" i="5"/>
  <c r="I409" i="5"/>
  <c r="H409" i="5"/>
  <c r="G409" i="5"/>
  <c r="F409" i="5"/>
  <c r="E409" i="5"/>
  <c r="D409" i="5"/>
  <c r="C409" i="5"/>
  <c r="B409" i="5"/>
  <c r="A409" i="5"/>
  <c r="J408" i="5"/>
  <c r="I408" i="5"/>
  <c r="H408" i="5"/>
  <c r="G408" i="5"/>
  <c r="F408" i="5"/>
  <c r="E408" i="5"/>
  <c r="D408" i="5"/>
  <c r="C408" i="5"/>
  <c r="B408" i="5"/>
  <c r="A408" i="5"/>
  <c r="J407" i="5"/>
  <c r="I407" i="5"/>
  <c r="H407" i="5"/>
  <c r="G407" i="5"/>
  <c r="F407" i="5"/>
  <c r="E407" i="5"/>
  <c r="D407" i="5"/>
  <c r="C407" i="5"/>
  <c r="B407" i="5"/>
  <c r="A407" i="5"/>
  <c r="J406" i="5"/>
  <c r="I406" i="5"/>
  <c r="H406" i="5"/>
  <c r="G406" i="5"/>
  <c r="F406" i="5"/>
  <c r="E406" i="5"/>
  <c r="D406" i="5"/>
  <c r="C406" i="5"/>
  <c r="B406" i="5"/>
  <c r="A406" i="5"/>
  <c r="J405" i="5"/>
  <c r="I405" i="5"/>
  <c r="H405" i="5"/>
  <c r="G405" i="5"/>
  <c r="F405" i="5"/>
  <c r="E405" i="5"/>
  <c r="D405" i="5"/>
  <c r="C405" i="5"/>
  <c r="B405" i="5"/>
  <c r="A405" i="5"/>
  <c r="J404" i="5"/>
  <c r="I404" i="5"/>
  <c r="H404" i="5"/>
  <c r="G404" i="5"/>
  <c r="F404" i="5"/>
  <c r="E404" i="5"/>
  <c r="D404" i="5"/>
  <c r="C404" i="5"/>
  <c r="B404" i="5"/>
  <c r="A404" i="5"/>
  <c r="J403" i="5"/>
  <c r="I403" i="5"/>
  <c r="H403" i="5"/>
  <c r="G403" i="5"/>
  <c r="F403" i="5"/>
  <c r="E403" i="5"/>
  <c r="D403" i="5"/>
  <c r="C403" i="5"/>
  <c r="B403" i="5"/>
  <c r="A403" i="5"/>
  <c r="J402" i="5"/>
  <c r="I402" i="5"/>
  <c r="H402" i="5"/>
  <c r="G402" i="5"/>
  <c r="F402" i="5"/>
  <c r="E402" i="5"/>
  <c r="D402" i="5"/>
  <c r="C402" i="5"/>
  <c r="B402" i="5"/>
  <c r="A402" i="5"/>
  <c r="J401" i="5"/>
  <c r="I401" i="5"/>
  <c r="H401" i="5"/>
  <c r="G401" i="5"/>
  <c r="F401" i="5"/>
  <c r="E401" i="5"/>
  <c r="D401" i="5"/>
  <c r="C401" i="5"/>
  <c r="B401" i="5"/>
  <c r="A401" i="5"/>
  <c r="J400" i="5"/>
  <c r="I400" i="5"/>
  <c r="H400" i="5"/>
  <c r="G400" i="5"/>
  <c r="F400" i="5"/>
  <c r="E400" i="5"/>
  <c r="D400" i="5"/>
  <c r="C400" i="5"/>
  <c r="B400" i="5"/>
  <c r="A400" i="5"/>
  <c r="J399" i="5"/>
  <c r="I399" i="5"/>
  <c r="H399" i="5"/>
  <c r="G399" i="5"/>
  <c r="F399" i="5"/>
  <c r="E399" i="5"/>
  <c r="D399" i="5"/>
  <c r="C399" i="5"/>
  <c r="B399" i="5"/>
  <c r="A399" i="5"/>
  <c r="J398" i="5"/>
  <c r="I398" i="5"/>
  <c r="H398" i="5"/>
  <c r="G398" i="5"/>
  <c r="F398" i="5"/>
  <c r="E398" i="5"/>
  <c r="D398" i="5"/>
  <c r="C398" i="5"/>
  <c r="B398" i="5"/>
  <c r="A398" i="5"/>
  <c r="J397" i="5"/>
  <c r="I397" i="5"/>
  <c r="H397" i="5"/>
  <c r="G397" i="5"/>
  <c r="F397" i="5"/>
  <c r="E397" i="5"/>
  <c r="D397" i="5"/>
  <c r="C397" i="5"/>
  <c r="B397" i="5"/>
  <c r="A397" i="5"/>
  <c r="J396" i="5"/>
  <c r="I396" i="5"/>
  <c r="H396" i="5"/>
  <c r="G396" i="5"/>
  <c r="F396" i="5"/>
  <c r="E396" i="5"/>
  <c r="D396" i="5"/>
  <c r="C396" i="5"/>
  <c r="B396" i="5"/>
  <c r="A396" i="5"/>
  <c r="J395" i="5"/>
  <c r="I395" i="5"/>
  <c r="H395" i="5"/>
  <c r="G395" i="5"/>
  <c r="F395" i="5"/>
  <c r="E395" i="5"/>
  <c r="D395" i="5"/>
  <c r="C395" i="5"/>
  <c r="B395" i="5"/>
  <c r="A395" i="5"/>
  <c r="J394" i="5"/>
  <c r="I394" i="5"/>
  <c r="H394" i="5"/>
  <c r="G394" i="5"/>
  <c r="F394" i="5"/>
  <c r="E394" i="5"/>
  <c r="D394" i="5"/>
  <c r="C394" i="5"/>
  <c r="B394" i="5"/>
  <c r="A394" i="5"/>
  <c r="J393" i="5"/>
  <c r="I393" i="5"/>
  <c r="H393" i="5"/>
  <c r="G393" i="5"/>
  <c r="F393" i="5"/>
  <c r="E393" i="5"/>
  <c r="D393" i="5"/>
  <c r="C393" i="5"/>
  <c r="B393" i="5"/>
  <c r="A393" i="5"/>
  <c r="J392" i="5"/>
  <c r="I392" i="5"/>
  <c r="H392" i="5"/>
  <c r="G392" i="5"/>
  <c r="F392" i="5"/>
  <c r="E392" i="5"/>
  <c r="D392" i="5"/>
  <c r="C392" i="5"/>
  <c r="B392" i="5"/>
  <c r="A392" i="5"/>
  <c r="J391" i="5"/>
  <c r="I391" i="5"/>
  <c r="H391" i="5"/>
  <c r="G391" i="5"/>
  <c r="F391" i="5"/>
  <c r="E391" i="5"/>
  <c r="D391" i="5"/>
  <c r="C391" i="5"/>
  <c r="B391" i="5"/>
  <c r="A391" i="5"/>
  <c r="J390" i="5"/>
  <c r="I390" i="5"/>
  <c r="H390" i="5"/>
  <c r="G390" i="5"/>
  <c r="F390" i="5"/>
  <c r="E390" i="5"/>
  <c r="D390" i="5"/>
  <c r="C390" i="5"/>
  <c r="B390" i="5"/>
  <c r="A390" i="5"/>
  <c r="J389" i="5"/>
  <c r="I389" i="5"/>
  <c r="H389" i="5"/>
  <c r="G389" i="5"/>
  <c r="F389" i="5"/>
  <c r="E389" i="5"/>
  <c r="D389" i="5"/>
  <c r="C389" i="5"/>
  <c r="B389" i="5"/>
  <c r="A389" i="5"/>
  <c r="J388" i="5"/>
  <c r="I388" i="5"/>
  <c r="H388" i="5"/>
  <c r="G388" i="5"/>
  <c r="F388" i="5"/>
  <c r="E388" i="5"/>
  <c r="D388" i="5"/>
  <c r="C388" i="5"/>
  <c r="B388" i="5"/>
  <c r="A388" i="5"/>
  <c r="J387" i="5"/>
  <c r="I387" i="5"/>
  <c r="H387" i="5"/>
  <c r="G387" i="5"/>
  <c r="F387" i="5"/>
  <c r="E387" i="5"/>
  <c r="D387" i="5"/>
  <c r="C387" i="5"/>
  <c r="B387" i="5"/>
  <c r="A387" i="5"/>
  <c r="J386" i="5"/>
  <c r="I386" i="5"/>
  <c r="H386" i="5"/>
  <c r="G386" i="5"/>
  <c r="F386" i="5"/>
  <c r="E386" i="5"/>
  <c r="D386" i="5"/>
  <c r="C386" i="5"/>
  <c r="B386" i="5"/>
  <c r="A386" i="5"/>
  <c r="J385" i="5"/>
  <c r="I385" i="5"/>
  <c r="H385" i="5"/>
  <c r="G385" i="5"/>
  <c r="F385" i="5"/>
  <c r="E385" i="5"/>
  <c r="D385" i="5"/>
  <c r="C385" i="5"/>
  <c r="B385" i="5"/>
  <c r="A385" i="5"/>
  <c r="J384" i="5"/>
  <c r="I384" i="5"/>
  <c r="H384" i="5"/>
  <c r="G384" i="5"/>
  <c r="F384" i="5"/>
  <c r="E384" i="5"/>
  <c r="D384" i="5"/>
  <c r="C384" i="5"/>
  <c r="B384" i="5"/>
  <c r="A384" i="5"/>
  <c r="J383" i="5"/>
  <c r="I383" i="5"/>
  <c r="H383" i="5"/>
  <c r="G383" i="5"/>
  <c r="F383" i="5"/>
  <c r="E383" i="5"/>
  <c r="D383" i="5"/>
  <c r="C383" i="5"/>
  <c r="B383" i="5"/>
  <c r="A383" i="5"/>
  <c r="J382" i="5"/>
  <c r="I382" i="5"/>
  <c r="H382" i="5"/>
  <c r="G382" i="5"/>
  <c r="F382" i="5"/>
  <c r="E382" i="5"/>
  <c r="D382" i="5"/>
  <c r="C382" i="5"/>
  <c r="B382" i="5"/>
  <c r="A382" i="5"/>
  <c r="J381" i="5"/>
  <c r="I381" i="5"/>
  <c r="H381" i="5"/>
  <c r="G381" i="5"/>
  <c r="F381" i="5"/>
  <c r="E381" i="5"/>
  <c r="D381" i="5"/>
  <c r="C381" i="5"/>
  <c r="B381" i="5"/>
  <c r="A381" i="5"/>
  <c r="J380" i="5"/>
  <c r="I380" i="5"/>
  <c r="H380" i="5"/>
  <c r="G380" i="5"/>
  <c r="F380" i="5"/>
  <c r="E380" i="5"/>
  <c r="D380" i="5"/>
  <c r="C380" i="5"/>
  <c r="B380" i="5"/>
  <c r="A380" i="5"/>
  <c r="J379" i="5"/>
  <c r="I379" i="5"/>
  <c r="H379" i="5"/>
  <c r="G379" i="5"/>
  <c r="F379" i="5"/>
  <c r="E379" i="5"/>
  <c r="D379" i="5"/>
  <c r="C379" i="5"/>
  <c r="B379" i="5"/>
  <c r="A379" i="5"/>
  <c r="J378" i="5"/>
  <c r="I378" i="5"/>
  <c r="H378" i="5"/>
  <c r="G378" i="5"/>
  <c r="F378" i="5"/>
  <c r="E378" i="5"/>
  <c r="D378" i="5"/>
  <c r="C378" i="5"/>
  <c r="B378" i="5"/>
  <c r="A378" i="5"/>
  <c r="J377" i="5"/>
  <c r="I377" i="5"/>
  <c r="H377" i="5"/>
  <c r="G377" i="5"/>
  <c r="F377" i="5"/>
  <c r="E377" i="5"/>
  <c r="D377" i="5"/>
  <c r="C377" i="5"/>
  <c r="B377" i="5"/>
  <c r="A377" i="5"/>
  <c r="J376" i="5"/>
  <c r="I376" i="5"/>
  <c r="H376" i="5"/>
  <c r="G376" i="5"/>
  <c r="F376" i="5"/>
  <c r="E376" i="5"/>
  <c r="D376" i="5"/>
  <c r="C376" i="5"/>
  <c r="B376" i="5"/>
  <c r="A376" i="5"/>
  <c r="J375" i="5"/>
  <c r="I375" i="5"/>
  <c r="H375" i="5"/>
  <c r="G375" i="5"/>
  <c r="F375" i="5"/>
  <c r="E375" i="5"/>
  <c r="D375" i="5"/>
  <c r="C375" i="5"/>
  <c r="B375" i="5"/>
  <c r="A375" i="5"/>
  <c r="J374" i="5"/>
  <c r="I374" i="5"/>
  <c r="H374" i="5"/>
  <c r="G374" i="5"/>
  <c r="F374" i="5"/>
  <c r="E374" i="5"/>
  <c r="D374" i="5"/>
  <c r="C374" i="5"/>
  <c r="B374" i="5"/>
  <c r="A374" i="5"/>
  <c r="J373" i="5"/>
  <c r="I373" i="5"/>
  <c r="H373" i="5"/>
  <c r="G373" i="5"/>
  <c r="F373" i="5"/>
  <c r="E373" i="5"/>
  <c r="D373" i="5"/>
  <c r="C373" i="5"/>
  <c r="B373" i="5"/>
  <c r="A373" i="5"/>
  <c r="J372" i="5"/>
  <c r="I372" i="5"/>
  <c r="H372" i="5"/>
  <c r="G372" i="5"/>
  <c r="F372" i="5"/>
  <c r="E372" i="5"/>
  <c r="D372" i="5"/>
  <c r="C372" i="5"/>
  <c r="B372" i="5"/>
  <c r="A372" i="5"/>
  <c r="J371" i="5"/>
  <c r="I371" i="5"/>
  <c r="H371" i="5"/>
  <c r="G371" i="5"/>
  <c r="F371" i="5"/>
  <c r="E371" i="5"/>
  <c r="D371" i="5"/>
  <c r="C371" i="5"/>
  <c r="B371" i="5"/>
  <c r="A371" i="5"/>
  <c r="J370" i="5"/>
  <c r="I370" i="5"/>
  <c r="H370" i="5"/>
  <c r="G370" i="5"/>
  <c r="F370" i="5"/>
  <c r="E370" i="5"/>
  <c r="D370" i="5"/>
  <c r="C370" i="5"/>
  <c r="B370" i="5"/>
  <c r="A370" i="5"/>
  <c r="J369" i="5"/>
  <c r="I369" i="5"/>
  <c r="H369" i="5"/>
  <c r="G369" i="5"/>
  <c r="F369" i="5"/>
  <c r="E369" i="5"/>
  <c r="D369" i="5"/>
  <c r="C369" i="5"/>
  <c r="B369" i="5"/>
  <c r="A369" i="5"/>
  <c r="J368" i="5"/>
  <c r="I368" i="5"/>
  <c r="H368" i="5"/>
  <c r="G368" i="5"/>
  <c r="F368" i="5"/>
  <c r="E368" i="5"/>
  <c r="D368" i="5"/>
  <c r="C368" i="5"/>
  <c r="B368" i="5"/>
  <c r="A368" i="5"/>
  <c r="J367" i="5"/>
  <c r="I367" i="5"/>
  <c r="H367" i="5"/>
  <c r="G367" i="5"/>
  <c r="F367" i="5"/>
  <c r="E367" i="5"/>
  <c r="D367" i="5"/>
  <c r="C367" i="5"/>
  <c r="B367" i="5"/>
  <c r="A367" i="5"/>
  <c r="J366" i="5"/>
  <c r="I366" i="5"/>
  <c r="H366" i="5"/>
  <c r="G366" i="5"/>
  <c r="F366" i="5"/>
  <c r="E366" i="5"/>
  <c r="D366" i="5"/>
  <c r="C366" i="5"/>
  <c r="B366" i="5"/>
  <c r="A366" i="5"/>
  <c r="J365" i="5"/>
  <c r="I365" i="5"/>
  <c r="H365" i="5"/>
  <c r="G365" i="5"/>
  <c r="F365" i="5"/>
  <c r="E365" i="5"/>
  <c r="D365" i="5"/>
  <c r="C365" i="5"/>
  <c r="B365" i="5"/>
  <c r="A365" i="5"/>
  <c r="J364" i="5"/>
  <c r="I364" i="5"/>
  <c r="H364" i="5"/>
  <c r="G364" i="5"/>
  <c r="F364" i="5"/>
  <c r="E364" i="5"/>
  <c r="D364" i="5"/>
  <c r="C364" i="5"/>
  <c r="B364" i="5"/>
  <c r="A364" i="5"/>
  <c r="J363" i="5"/>
  <c r="I363" i="5"/>
  <c r="H363" i="5"/>
  <c r="G363" i="5"/>
  <c r="F363" i="5"/>
  <c r="E363" i="5"/>
  <c r="D363" i="5"/>
  <c r="C363" i="5"/>
  <c r="B363" i="5"/>
  <c r="A363" i="5"/>
  <c r="J362" i="5"/>
  <c r="I362" i="5"/>
  <c r="H362" i="5"/>
  <c r="G362" i="5"/>
  <c r="F362" i="5"/>
  <c r="E362" i="5"/>
  <c r="D362" i="5"/>
  <c r="C362" i="5"/>
  <c r="B362" i="5"/>
  <c r="A362" i="5"/>
  <c r="J361" i="5"/>
  <c r="I361" i="5"/>
  <c r="H361" i="5"/>
  <c r="G361" i="5"/>
  <c r="F361" i="5"/>
  <c r="E361" i="5"/>
  <c r="D361" i="5"/>
  <c r="C361" i="5"/>
  <c r="B361" i="5"/>
  <c r="A361" i="5"/>
  <c r="J360" i="5"/>
  <c r="I360" i="5"/>
  <c r="H360" i="5"/>
  <c r="G360" i="5"/>
  <c r="F360" i="5"/>
  <c r="E360" i="5"/>
  <c r="D360" i="5"/>
  <c r="C360" i="5"/>
  <c r="B360" i="5"/>
  <c r="A360" i="5"/>
  <c r="J359" i="5"/>
  <c r="I359" i="5"/>
  <c r="H359" i="5"/>
  <c r="G359" i="5"/>
  <c r="F359" i="5"/>
  <c r="E359" i="5"/>
  <c r="D359" i="5"/>
  <c r="C359" i="5"/>
  <c r="B359" i="5"/>
  <c r="A359" i="5"/>
  <c r="J358" i="5"/>
  <c r="I358" i="5"/>
  <c r="H358" i="5"/>
  <c r="G358" i="5"/>
  <c r="F358" i="5"/>
  <c r="E358" i="5"/>
  <c r="D358" i="5"/>
  <c r="C358" i="5"/>
  <c r="B358" i="5"/>
  <c r="A358" i="5"/>
  <c r="J357" i="5"/>
  <c r="I357" i="5"/>
  <c r="H357" i="5"/>
  <c r="G357" i="5"/>
  <c r="F357" i="5"/>
  <c r="E357" i="5"/>
  <c r="D357" i="5"/>
  <c r="C357" i="5"/>
  <c r="B357" i="5"/>
  <c r="A357" i="5"/>
  <c r="J356" i="5"/>
  <c r="I356" i="5"/>
  <c r="H356" i="5"/>
  <c r="G356" i="5"/>
  <c r="F356" i="5"/>
  <c r="E356" i="5"/>
  <c r="D356" i="5"/>
  <c r="C356" i="5"/>
  <c r="B356" i="5"/>
  <c r="A356" i="5"/>
  <c r="J355" i="5"/>
  <c r="I355" i="5"/>
  <c r="H355" i="5"/>
  <c r="G355" i="5"/>
  <c r="F355" i="5"/>
  <c r="E355" i="5"/>
  <c r="D355" i="5"/>
  <c r="C355" i="5"/>
  <c r="B355" i="5"/>
  <c r="A355" i="5"/>
  <c r="J354" i="5"/>
  <c r="I354" i="5"/>
  <c r="H354" i="5"/>
  <c r="G354" i="5"/>
  <c r="F354" i="5"/>
  <c r="E354" i="5"/>
  <c r="D354" i="5"/>
  <c r="C354" i="5"/>
  <c r="B354" i="5"/>
  <c r="A354" i="5"/>
  <c r="J353" i="5"/>
  <c r="I353" i="5"/>
  <c r="H353" i="5"/>
  <c r="G353" i="5"/>
  <c r="F353" i="5"/>
  <c r="E353" i="5"/>
  <c r="D353" i="5"/>
  <c r="C353" i="5"/>
  <c r="B353" i="5"/>
  <c r="A353" i="5"/>
  <c r="J352" i="5"/>
  <c r="I352" i="5"/>
  <c r="H352" i="5"/>
  <c r="G352" i="5"/>
  <c r="F352" i="5"/>
  <c r="E352" i="5"/>
  <c r="D352" i="5"/>
  <c r="C352" i="5"/>
  <c r="B352" i="5"/>
  <c r="A352" i="5"/>
  <c r="J351" i="5"/>
  <c r="I351" i="5"/>
  <c r="H351" i="5"/>
  <c r="G351" i="5"/>
  <c r="F351" i="5"/>
  <c r="E351" i="5"/>
  <c r="D351" i="5"/>
  <c r="C351" i="5"/>
  <c r="B351" i="5"/>
  <c r="A351" i="5"/>
  <c r="J350" i="5"/>
  <c r="I350" i="5"/>
  <c r="H350" i="5"/>
  <c r="G350" i="5"/>
  <c r="F350" i="5"/>
  <c r="E350" i="5"/>
  <c r="D350" i="5"/>
  <c r="C350" i="5"/>
  <c r="B350" i="5"/>
  <c r="A350" i="5"/>
  <c r="J349" i="5"/>
  <c r="I349" i="5"/>
  <c r="H349" i="5"/>
  <c r="G349" i="5"/>
  <c r="F349" i="5"/>
  <c r="E349" i="5"/>
  <c r="D349" i="5"/>
  <c r="C349" i="5"/>
  <c r="B349" i="5"/>
  <c r="A349" i="5"/>
  <c r="J348" i="5"/>
  <c r="I348" i="5"/>
  <c r="H348" i="5"/>
  <c r="G348" i="5"/>
  <c r="F348" i="5"/>
  <c r="E348" i="5"/>
  <c r="D348" i="5"/>
  <c r="C348" i="5"/>
  <c r="B348" i="5"/>
  <c r="A348" i="5"/>
  <c r="J347" i="5"/>
  <c r="I347" i="5"/>
  <c r="H347" i="5"/>
  <c r="G347" i="5"/>
  <c r="F347" i="5"/>
  <c r="E347" i="5"/>
  <c r="D347" i="5"/>
  <c r="C347" i="5"/>
  <c r="B347" i="5"/>
  <c r="A347" i="5"/>
  <c r="J346" i="5"/>
  <c r="I346" i="5"/>
  <c r="H346" i="5"/>
  <c r="G346" i="5"/>
  <c r="F346" i="5"/>
  <c r="E346" i="5"/>
  <c r="D346" i="5"/>
  <c r="C346" i="5"/>
  <c r="B346" i="5"/>
  <c r="A346" i="5"/>
  <c r="J345" i="5"/>
  <c r="I345" i="5"/>
  <c r="H345" i="5"/>
  <c r="G345" i="5"/>
  <c r="F345" i="5"/>
  <c r="E345" i="5"/>
  <c r="D345" i="5"/>
  <c r="C345" i="5"/>
  <c r="B345" i="5"/>
  <c r="A345" i="5"/>
  <c r="J344" i="5"/>
  <c r="I344" i="5"/>
  <c r="H344" i="5"/>
  <c r="G344" i="5"/>
  <c r="F344" i="5"/>
  <c r="E344" i="5"/>
  <c r="D344" i="5"/>
  <c r="C344" i="5"/>
  <c r="B344" i="5"/>
  <c r="A344" i="5"/>
  <c r="J343" i="5"/>
  <c r="I343" i="5"/>
  <c r="H343" i="5"/>
  <c r="G343" i="5"/>
  <c r="F343" i="5"/>
  <c r="E343" i="5"/>
  <c r="D343" i="5"/>
  <c r="C343" i="5"/>
  <c r="B343" i="5"/>
  <c r="A343" i="5"/>
  <c r="J342" i="5"/>
  <c r="I342" i="5"/>
  <c r="H342" i="5"/>
  <c r="G342" i="5"/>
  <c r="F342" i="5"/>
  <c r="E342" i="5"/>
  <c r="D342" i="5"/>
  <c r="C342" i="5"/>
  <c r="B342" i="5"/>
  <c r="A342" i="5"/>
  <c r="J341" i="5"/>
  <c r="I341" i="5"/>
  <c r="H341" i="5"/>
  <c r="G341" i="5"/>
  <c r="F341" i="5"/>
  <c r="E341" i="5"/>
  <c r="D341" i="5"/>
  <c r="C341" i="5"/>
  <c r="B341" i="5"/>
  <c r="A341" i="5"/>
  <c r="J340" i="5"/>
  <c r="I340" i="5"/>
  <c r="H340" i="5"/>
  <c r="G340" i="5"/>
  <c r="F340" i="5"/>
  <c r="E340" i="5"/>
  <c r="D340" i="5"/>
  <c r="C340" i="5"/>
  <c r="B340" i="5"/>
  <c r="A340" i="5"/>
  <c r="J339" i="5"/>
  <c r="I339" i="5"/>
  <c r="H339" i="5"/>
  <c r="G339" i="5"/>
  <c r="F339" i="5"/>
  <c r="E339" i="5"/>
  <c r="D339" i="5"/>
  <c r="C339" i="5"/>
  <c r="B339" i="5"/>
  <c r="A339" i="5"/>
  <c r="J338" i="5"/>
  <c r="I338" i="5"/>
  <c r="H338" i="5"/>
  <c r="G338" i="5"/>
  <c r="F338" i="5"/>
  <c r="E338" i="5"/>
  <c r="D338" i="5"/>
  <c r="C338" i="5"/>
  <c r="B338" i="5"/>
  <c r="A338" i="5"/>
  <c r="J337" i="5"/>
  <c r="I337" i="5"/>
  <c r="H337" i="5"/>
  <c r="G337" i="5"/>
  <c r="F337" i="5"/>
  <c r="E337" i="5"/>
  <c r="D337" i="5"/>
  <c r="C337" i="5"/>
  <c r="B337" i="5"/>
  <c r="A337" i="5"/>
  <c r="J336" i="5"/>
  <c r="I336" i="5"/>
  <c r="H336" i="5"/>
  <c r="G336" i="5"/>
  <c r="F336" i="5"/>
  <c r="E336" i="5"/>
  <c r="D336" i="5"/>
  <c r="C336" i="5"/>
  <c r="B336" i="5"/>
  <c r="A336" i="5"/>
  <c r="J335" i="5"/>
  <c r="I335" i="5"/>
  <c r="H335" i="5"/>
  <c r="G335" i="5"/>
  <c r="F335" i="5"/>
  <c r="E335" i="5"/>
  <c r="D335" i="5"/>
  <c r="C335" i="5"/>
  <c r="B335" i="5"/>
  <c r="A335" i="5"/>
  <c r="J334" i="5"/>
  <c r="I334" i="5"/>
  <c r="H334" i="5"/>
  <c r="G334" i="5"/>
  <c r="F334" i="5"/>
  <c r="E334" i="5"/>
  <c r="D334" i="5"/>
  <c r="C334" i="5"/>
  <c r="B334" i="5"/>
  <c r="A334" i="5"/>
  <c r="J333" i="5"/>
  <c r="I333" i="5"/>
  <c r="H333" i="5"/>
  <c r="G333" i="5"/>
  <c r="F333" i="5"/>
  <c r="E333" i="5"/>
  <c r="D333" i="5"/>
  <c r="C333" i="5"/>
  <c r="B333" i="5"/>
  <c r="A333" i="5"/>
  <c r="J332" i="5"/>
  <c r="I332" i="5"/>
  <c r="H332" i="5"/>
  <c r="G332" i="5"/>
  <c r="F332" i="5"/>
  <c r="E332" i="5"/>
  <c r="D332" i="5"/>
  <c r="C332" i="5"/>
  <c r="B332" i="5"/>
  <c r="A332" i="5"/>
  <c r="J331" i="5"/>
  <c r="I331" i="5"/>
  <c r="H331" i="5"/>
  <c r="G331" i="5"/>
  <c r="F331" i="5"/>
  <c r="E331" i="5"/>
  <c r="D331" i="5"/>
  <c r="C331" i="5"/>
  <c r="B331" i="5"/>
  <c r="A331" i="5"/>
  <c r="J330" i="5"/>
  <c r="I330" i="5"/>
  <c r="H330" i="5"/>
  <c r="G330" i="5"/>
  <c r="F330" i="5"/>
  <c r="E330" i="5"/>
  <c r="D330" i="5"/>
  <c r="C330" i="5"/>
  <c r="B330" i="5"/>
  <c r="A330" i="5"/>
  <c r="J329" i="5"/>
  <c r="I329" i="5"/>
  <c r="H329" i="5"/>
  <c r="G329" i="5"/>
  <c r="F329" i="5"/>
  <c r="E329" i="5"/>
  <c r="D329" i="5"/>
  <c r="C329" i="5"/>
  <c r="B329" i="5"/>
  <c r="A329" i="5"/>
  <c r="J328" i="5"/>
  <c r="I328" i="5"/>
  <c r="H328" i="5"/>
  <c r="G328" i="5"/>
  <c r="F328" i="5"/>
  <c r="E328" i="5"/>
  <c r="D328" i="5"/>
  <c r="C328" i="5"/>
  <c r="B328" i="5"/>
  <c r="A328" i="5"/>
  <c r="J327" i="5"/>
  <c r="I327" i="5"/>
  <c r="H327" i="5"/>
  <c r="G327" i="5"/>
  <c r="F327" i="5"/>
  <c r="E327" i="5"/>
  <c r="D327" i="5"/>
  <c r="C327" i="5"/>
  <c r="B327" i="5"/>
  <c r="A327" i="5"/>
  <c r="J326" i="5"/>
  <c r="I326" i="5"/>
  <c r="H326" i="5"/>
  <c r="G326" i="5"/>
  <c r="F326" i="5"/>
  <c r="E326" i="5"/>
  <c r="D326" i="5"/>
  <c r="C326" i="5"/>
  <c r="B326" i="5"/>
  <c r="A326" i="5"/>
  <c r="J325" i="5"/>
  <c r="I325" i="5"/>
  <c r="H325" i="5"/>
  <c r="G325" i="5"/>
  <c r="F325" i="5"/>
  <c r="E325" i="5"/>
  <c r="D325" i="5"/>
  <c r="C325" i="5"/>
  <c r="B325" i="5"/>
  <c r="A325" i="5"/>
  <c r="J324" i="5"/>
  <c r="I324" i="5"/>
  <c r="H324" i="5"/>
  <c r="G324" i="5"/>
  <c r="F324" i="5"/>
  <c r="E324" i="5"/>
  <c r="D324" i="5"/>
  <c r="C324" i="5"/>
  <c r="B324" i="5"/>
  <c r="A324" i="5"/>
  <c r="J323" i="5"/>
  <c r="I323" i="5"/>
  <c r="H323" i="5"/>
  <c r="G323" i="5"/>
  <c r="F323" i="5"/>
  <c r="E323" i="5"/>
  <c r="D323" i="5"/>
  <c r="C323" i="5"/>
  <c r="B323" i="5"/>
  <c r="A323" i="5"/>
  <c r="J322" i="5"/>
  <c r="I322" i="5"/>
  <c r="H322" i="5"/>
  <c r="G322" i="5"/>
  <c r="F322" i="5"/>
  <c r="E322" i="5"/>
  <c r="D322" i="5"/>
  <c r="C322" i="5"/>
  <c r="B322" i="5"/>
  <c r="A322" i="5"/>
  <c r="J321" i="5"/>
  <c r="I321" i="5"/>
  <c r="H321" i="5"/>
  <c r="G321" i="5"/>
  <c r="F321" i="5"/>
  <c r="E321" i="5"/>
  <c r="D321" i="5"/>
  <c r="C321" i="5"/>
  <c r="B321" i="5"/>
  <c r="A321" i="5"/>
  <c r="J320" i="5"/>
  <c r="I320" i="5"/>
  <c r="H320" i="5"/>
  <c r="G320" i="5"/>
  <c r="F320" i="5"/>
  <c r="E320" i="5"/>
  <c r="D320" i="5"/>
  <c r="C320" i="5"/>
  <c r="B320" i="5"/>
  <c r="A320" i="5"/>
  <c r="J319" i="5"/>
  <c r="I319" i="5"/>
  <c r="H319" i="5"/>
  <c r="G319" i="5"/>
  <c r="F319" i="5"/>
  <c r="E319" i="5"/>
  <c r="D319" i="5"/>
  <c r="C319" i="5"/>
  <c r="B319" i="5"/>
  <c r="A319" i="5"/>
  <c r="J318" i="5"/>
  <c r="I318" i="5"/>
  <c r="H318" i="5"/>
  <c r="G318" i="5"/>
  <c r="F318" i="5"/>
  <c r="E318" i="5"/>
  <c r="D318" i="5"/>
  <c r="C318" i="5"/>
  <c r="B318" i="5"/>
  <c r="A318" i="5"/>
  <c r="J317" i="5"/>
  <c r="I317" i="5"/>
  <c r="H317" i="5"/>
  <c r="G317" i="5"/>
  <c r="F317" i="5"/>
  <c r="E317" i="5"/>
  <c r="D317" i="5"/>
  <c r="C317" i="5"/>
  <c r="B317" i="5"/>
  <c r="A317" i="5"/>
  <c r="J316" i="5"/>
  <c r="I316" i="5"/>
  <c r="H316" i="5"/>
  <c r="G316" i="5"/>
  <c r="F316" i="5"/>
  <c r="E316" i="5"/>
  <c r="D316" i="5"/>
  <c r="C316" i="5"/>
  <c r="B316" i="5"/>
  <c r="A316" i="5"/>
  <c r="J315" i="5"/>
  <c r="I315" i="5"/>
  <c r="H315" i="5"/>
  <c r="G315" i="5"/>
  <c r="F315" i="5"/>
  <c r="E315" i="5"/>
  <c r="D315" i="5"/>
  <c r="C315" i="5"/>
  <c r="B315" i="5"/>
  <c r="A315" i="5"/>
  <c r="J314" i="5"/>
  <c r="I314" i="5"/>
  <c r="H314" i="5"/>
  <c r="G314" i="5"/>
  <c r="F314" i="5"/>
  <c r="E314" i="5"/>
  <c r="D314" i="5"/>
  <c r="C314" i="5"/>
  <c r="B314" i="5"/>
  <c r="A314" i="5"/>
  <c r="J313" i="5"/>
  <c r="I313" i="5"/>
  <c r="H313" i="5"/>
  <c r="G313" i="5"/>
  <c r="F313" i="5"/>
  <c r="E313" i="5"/>
  <c r="D313" i="5"/>
  <c r="C313" i="5"/>
  <c r="B313" i="5"/>
  <c r="A313" i="5"/>
  <c r="J312" i="5"/>
  <c r="I312" i="5"/>
  <c r="H312" i="5"/>
  <c r="G312" i="5"/>
  <c r="F312" i="5"/>
  <c r="E312" i="5"/>
  <c r="D312" i="5"/>
  <c r="C312" i="5"/>
  <c r="B312" i="5"/>
  <c r="A312" i="5"/>
  <c r="J311" i="5"/>
  <c r="I311" i="5"/>
  <c r="H311" i="5"/>
  <c r="G311" i="5"/>
  <c r="F311" i="5"/>
  <c r="E311" i="5"/>
  <c r="D311" i="5"/>
  <c r="C311" i="5"/>
  <c r="B311" i="5"/>
  <c r="A311" i="5"/>
  <c r="J310" i="5"/>
  <c r="I310" i="5"/>
  <c r="H310" i="5"/>
  <c r="G310" i="5"/>
  <c r="F310" i="5"/>
  <c r="E310" i="5"/>
  <c r="D310" i="5"/>
  <c r="C310" i="5"/>
  <c r="B310" i="5"/>
  <c r="A310" i="5"/>
  <c r="J309" i="5"/>
  <c r="I309" i="5"/>
  <c r="H309" i="5"/>
  <c r="G309" i="5"/>
  <c r="F309" i="5"/>
  <c r="E309" i="5"/>
  <c r="D309" i="5"/>
  <c r="C309" i="5"/>
  <c r="B309" i="5"/>
  <c r="A309" i="5"/>
  <c r="J308" i="5"/>
  <c r="I308" i="5"/>
  <c r="H308" i="5"/>
  <c r="G308" i="5"/>
  <c r="F308" i="5"/>
  <c r="E308" i="5"/>
  <c r="D308" i="5"/>
  <c r="C308" i="5"/>
  <c r="B308" i="5"/>
  <c r="A308" i="5"/>
  <c r="J307" i="5"/>
  <c r="I307" i="5"/>
  <c r="H307" i="5"/>
  <c r="G307" i="5"/>
  <c r="F307" i="5"/>
  <c r="E307" i="5"/>
  <c r="D307" i="5"/>
  <c r="C307" i="5"/>
  <c r="B307" i="5"/>
  <c r="A307" i="5"/>
  <c r="J306" i="5"/>
  <c r="I306" i="5"/>
  <c r="H306" i="5"/>
  <c r="G306" i="5"/>
  <c r="F306" i="5"/>
  <c r="E306" i="5"/>
  <c r="D306" i="5"/>
  <c r="C306" i="5"/>
  <c r="B306" i="5"/>
  <c r="A306" i="5"/>
  <c r="J305" i="5"/>
  <c r="I305" i="5"/>
  <c r="H305" i="5"/>
  <c r="G305" i="5"/>
  <c r="F305" i="5"/>
  <c r="E305" i="5"/>
  <c r="D305" i="5"/>
  <c r="C305" i="5"/>
  <c r="B305" i="5"/>
  <c r="A305" i="5"/>
  <c r="J304" i="5"/>
  <c r="I304" i="5"/>
  <c r="H304" i="5"/>
  <c r="G304" i="5"/>
  <c r="F304" i="5"/>
  <c r="E304" i="5"/>
  <c r="D304" i="5"/>
  <c r="C304" i="5"/>
  <c r="B304" i="5"/>
  <c r="A304" i="5"/>
  <c r="J303" i="5"/>
  <c r="I303" i="5"/>
  <c r="H303" i="5"/>
  <c r="G303" i="5"/>
  <c r="F303" i="5"/>
  <c r="E303" i="5"/>
  <c r="D303" i="5"/>
  <c r="C303" i="5"/>
  <c r="B303" i="5"/>
  <c r="A303" i="5"/>
  <c r="J302" i="5"/>
  <c r="I302" i="5"/>
  <c r="H302" i="5"/>
  <c r="G302" i="5"/>
  <c r="F302" i="5"/>
  <c r="E302" i="5"/>
  <c r="D302" i="5"/>
  <c r="C302" i="5"/>
  <c r="B302" i="5"/>
  <c r="A302" i="5"/>
  <c r="J301" i="5"/>
  <c r="I301" i="5"/>
  <c r="H301" i="5"/>
  <c r="G301" i="5"/>
  <c r="F301" i="5"/>
  <c r="E301" i="5"/>
  <c r="D301" i="5"/>
  <c r="C301" i="5"/>
  <c r="B301" i="5"/>
  <c r="A301" i="5"/>
  <c r="J300" i="5"/>
  <c r="I300" i="5"/>
  <c r="H300" i="5"/>
  <c r="G300" i="5"/>
  <c r="F300" i="5"/>
  <c r="E300" i="5"/>
  <c r="D300" i="5"/>
  <c r="C300" i="5"/>
  <c r="B300" i="5"/>
  <c r="A300" i="5"/>
  <c r="J299" i="5"/>
  <c r="I299" i="5"/>
  <c r="H299" i="5"/>
  <c r="G299" i="5"/>
  <c r="F299" i="5"/>
  <c r="E299" i="5"/>
  <c r="D299" i="5"/>
  <c r="C299" i="5"/>
  <c r="B299" i="5"/>
  <c r="A299" i="5"/>
  <c r="J298" i="5"/>
  <c r="I298" i="5"/>
  <c r="H298" i="5"/>
  <c r="G298" i="5"/>
  <c r="F298" i="5"/>
  <c r="E298" i="5"/>
  <c r="D298" i="5"/>
  <c r="C298" i="5"/>
  <c r="B298" i="5"/>
  <c r="A298" i="5"/>
  <c r="J297" i="5"/>
  <c r="I297" i="5"/>
  <c r="H297" i="5"/>
  <c r="G297" i="5"/>
  <c r="F297" i="5"/>
  <c r="E297" i="5"/>
  <c r="D297" i="5"/>
  <c r="C297" i="5"/>
  <c r="B297" i="5"/>
  <c r="A297" i="5"/>
  <c r="J296" i="5"/>
  <c r="I296" i="5"/>
  <c r="H296" i="5"/>
  <c r="G296" i="5"/>
  <c r="F296" i="5"/>
  <c r="E296" i="5"/>
  <c r="D296" i="5"/>
  <c r="C296" i="5"/>
  <c r="B296" i="5"/>
  <c r="A296" i="5"/>
  <c r="J295" i="5"/>
  <c r="I295" i="5"/>
  <c r="H295" i="5"/>
  <c r="G295" i="5"/>
  <c r="F295" i="5"/>
  <c r="E295" i="5"/>
  <c r="D295" i="5"/>
  <c r="C295" i="5"/>
  <c r="B295" i="5"/>
  <c r="A295" i="5"/>
  <c r="J294" i="5"/>
  <c r="I294" i="5"/>
  <c r="H294" i="5"/>
  <c r="G294" i="5"/>
  <c r="F294" i="5"/>
  <c r="E294" i="5"/>
  <c r="D294" i="5"/>
  <c r="C294" i="5"/>
  <c r="B294" i="5"/>
  <c r="A294" i="5"/>
  <c r="J293" i="5"/>
  <c r="I293" i="5"/>
  <c r="H293" i="5"/>
  <c r="G293" i="5"/>
  <c r="F293" i="5"/>
  <c r="E293" i="5"/>
  <c r="D293" i="5"/>
  <c r="C293" i="5"/>
  <c r="B293" i="5"/>
  <c r="A293" i="5"/>
  <c r="J292" i="5"/>
  <c r="I292" i="5"/>
  <c r="H292" i="5"/>
  <c r="G292" i="5"/>
  <c r="F292" i="5"/>
  <c r="E292" i="5"/>
  <c r="D292" i="5"/>
  <c r="C292" i="5"/>
  <c r="B292" i="5"/>
  <c r="A292" i="5"/>
  <c r="J291" i="5"/>
  <c r="I291" i="5"/>
  <c r="H291" i="5"/>
  <c r="G291" i="5"/>
  <c r="F291" i="5"/>
  <c r="E291" i="5"/>
  <c r="D291" i="5"/>
  <c r="C291" i="5"/>
  <c r="B291" i="5"/>
  <c r="A291" i="5"/>
  <c r="J290" i="5"/>
  <c r="I290" i="5"/>
  <c r="H290" i="5"/>
  <c r="G290" i="5"/>
  <c r="F290" i="5"/>
  <c r="E290" i="5"/>
  <c r="D290" i="5"/>
  <c r="C290" i="5"/>
  <c r="B290" i="5"/>
  <c r="A290" i="5"/>
  <c r="J289" i="5"/>
  <c r="I289" i="5"/>
  <c r="H289" i="5"/>
  <c r="G289" i="5"/>
  <c r="F289" i="5"/>
  <c r="E289" i="5"/>
  <c r="D289" i="5"/>
  <c r="C289" i="5"/>
  <c r="B289" i="5"/>
  <c r="A289" i="5"/>
  <c r="J288" i="5"/>
  <c r="I288" i="5"/>
  <c r="H288" i="5"/>
  <c r="G288" i="5"/>
  <c r="F288" i="5"/>
  <c r="E288" i="5"/>
  <c r="D288" i="5"/>
  <c r="C288" i="5"/>
  <c r="B288" i="5"/>
  <c r="A288" i="5"/>
  <c r="J287" i="5"/>
  <c r="I287" i="5"/>
  <c r="H287" i="5"/>
  <c r="G287" i="5"/>
  <c r="F287" i="5"/>
  <c r="E287" i="5"/>
  <c r="D287" i="5"/>
  <c r="C287" i="5"/>
  <c r="B287" i="5"/>
  <c r="A287" i="5"/>
  <c r="J286" i="5"/>
  <c r="I286" i="5"/>
  <c r="H286" i="5"/>
  <c r="G286" i="5"/>
  <c r="F286" i="5"/>
  <c r="E286" i="5"/>
  <c r="D286" i="5"/>
  <c r="C286" i="5"/>
  <c r="B286" i="5"/>
  <c r="A286" i="5"/>
  <c r="J285" i="5"/>
  <c r="I285" i="5"/>
  <c r="H285" i="5"/>
  <c r="G285" i="5"/>
  <c r="F285" i="5"/>
  <c r="E285" i="5"/>
  <c r="D285" i="5"/>
  <c r="C285" i="5"/>
  <c r="B285" i="5"/>
  <c r="A285" i="5"/>
  <c r="J284" i="5"/>
  <c r="I284" i="5"/>
  <c r="H284" i="5"/>
  <c r="G284" i="5"/>
  <c r="F284" i="5"/>
  <c r="E284" i="5"/>
  <c r="D284" i="5"/>
  <c r="C284" i="5"/>
  <c r="B284" i="5"/>
  <c r="A284" i="5"/>
  <c r="J283" i="5"/>
  <c r="I283" i="5"/>
  <c r="H283" i="5"/>
  <c r="G283" i="5"/>
  <c r="F283" i="5"/>
  <c r="E283" i="5"/>
  <c r="D283" i="5"/>
  <c r="C283" i="5"/>
  <c r="B283" i="5"/>
  <c r="A283" i="5"/>
  <c r="J282" i="5"/>
  <c r="I282" i="5"/>
  <c r="H282" i="5"/>
  <c r="G282" i="5"/>
  <c r="F282" i="5"/>
  <c r="E282" i="5"/>
  <c r="D282" i="5"/>
  <c r="C282" i="5"/>
  <c r="B282" i="5"/>
  <c r="A282" i="5"/>
  <c r="J281" i="5"/>
  <c r="I281" i="5"/>
  <c r="H281" i="5"/>
  <c r="G281" i="5"/>
  <c r="F281" i="5"/>
  <c r="E281" i="5"/>
  <c r="D281" i="5"/>
  <c r="C281" i="5"/>
  <c r="B281" i="5"/>
  <c r="A281" i="5"/>
  <c r="J280" i="5"/>
  <c r="I280" i="5"/>
  <c r="H280" i="5"/>
  <c r="G280" i="5"/>
  <c r="F280" i="5"/>
  <c r="E280" i="5"/>
  <c r="D280" i="5"/>
  <c r="C280" i="5"/>
  <c r="B280" i="5"/>
  <c r="A280" i="5"/>
  <c r="J279" i="5"/>
  <c r="I279" i="5"/>
  <c r="H279" i="5"/>
  <c r="G279" i="5"/>
  <c r="F279" i="5"/>
  <c r="E279" i="5"/>
  <c r="D279" i="5"/>
  <c r="C279" i="5"/>
  <c r="B279" i="5"/>
  <c r="A279" i="5"/>
  <c r="J278" i="5"/>
  <c r="I278" i="5"/>
  <c r="H278" i="5"/>
  <c r="G278" i="5"/>
  <c r="F278" i="5"/>
  <c r="E278" i="5"/>
  <c r="D278" i="5"/>
  <c r="C278" i="5"/>
  <c r="B278" i="5"/>
  <c r="A278" i="5"/>
  <c r="J277" i="5"/>
  <c r="I277" i="5"/>
  <c r="H277" i="5"/>
  <c r="G277" i="5"/>
  <c r="F277" i="5"/>
  <c r="E277" i="5"/>
  <c r="D277" i="5"/>
  <c r="C277" i="5"/>
  <c r="B277" i="5"/>
  <c r="A277" i="5"/>
  <c r="J276" i="5"/>
  <c r="I276" i="5"/>
  <c r="H276" i="5"/>
  <c r="G276" i="5"/>
  <c r="F276" i="5"/>
  <c r="E276" i="5"/>
  <c r="D276" i="5"/>
  <c r="C276" i="5"/>
  <c r="B276" i="5"/>
  <c r="A276" i="5"/>
  <c r="J275" i="5"/>
  <c r="I275" i="5"/>
  <c r="H275" i="5"/>
  <c r="G275" i="5"/>
  <c r="F275" i="5"/>
  <c r="E275" i="5"/>
  <c r="D275" i="5"/>
  <c r="C275" i="5"/>
  <c r="B275" i="5"/>
  <c r="A275" i="5"/>
  <c r="J274" i="5"/>
  <c r="I274" i="5"/>
  <c r="H274" i="5"/>
  <c r="G274" i="5"/>
  <c r="F274" i="5"/>
  <c r="E274" i="5"/>
  <c r="D274" i="5"/>
  <c r="C274" i="5"/>
  <c r="B274" i="5"/>
  <c r="A274" i="5"/>
  <c r="J273" i="5"/>
  <c r="I273" i="5"/>
  <c r="H273" i="5"/>
  <c r="G273" i="5"/>
  <c r="F273" i="5"/>
  <c r="E273" i="5"/>
  <c r="D273" i="5"/>
  <c r="C273" i="5"/>
  <c r="B273" i="5"/>
  <c r="A273" i="5"/>
  <c r="J272" i="5"/>
  <c r="I272" i="5"/>
  <c r="H272" i="5"/>
  <c r="G272" i="5"/>
  <c r="F272" i="5"/>
  <c r="E272" i="5"/>
  <c r="D272" i="5"/>
  <c r="C272" i="5"/>
  <c r="B272" i="5"/>
  <c r="A272" i="5"/>
  <c r="J271" i="5"/>
  <c r="I271" i="5"/>
  <c r="H271" i="5"/>
  <c r="G271" i="5"/>
  <c r="F271" i="5"/>
  <c r="E271" i="5"/>
  <c r="D271" i="5"/>
  <c r="C271" i="5"/>
  <c r="B271" i="5"/>
  <c r="A271" i="5"/>
  <c r="J270" i="5"/>
  <c r="I270" i="5"/>
  <c r="H270" i="5"/>
  <c r="G270" i="5"/>
  <c r="F270" i="5"/>
  <c r="E270" i="5"/>
  <c r="D270" i="5"/>
  <c r="C270" i="5"/>
  <c r="B270" i="5"/>
  <c r="A270" i="5"/>
  <c r="J269" i="5"/>
  <c r="I269" i="5"/>
  <c r="H269" i="5"/>
  <c r="G269" i="5"/>
  <c r="F269" i="5"/>
  <c r="E269" i="5"/>
  <c r="D269" i="5"/>
  <c r="C269" i="5"/>
  <c r="B269" i="5"/>
  <c r="A269" i="5"/>
  <c r="J268" i="5"/>
  <c r="I268" i="5"/>
  <c r="H268" i="5"/>
  <c r="G268" i="5"/>
  <c r="F268" i="5"/>
  <c r="E268" i="5"/>
  <c r="D268" i="5"/>
  <c r="C268" i="5"/>
  <c r="B268" i="5"/>
  <c r="A268" i="5"/>
  <c r="J267" i="5"/>
  <c r="I267" i="5"/>
  <c r="H267" i="5"/>
  <c r="G267" i="5"/>
  <c r="F267" i="5"/>
  <c r="E267" i="5"/>
  <c r="D267" i="5"/>
  <c r="C267" i="5"/>
  <c r="B267" i="5"/>
  <c r="A267" i="5"/>
  <c r="J266" i="5"/>
  <c r="I266" i="5"/>
  <c r="H266" i="5"/>
  <c r="G266" i="5"/>
  <c r="F266" i="5"/>
  <c r="E266" i="5"/>
  <c r="D266" i="5"/>
  <c r="C266" i="5"/>
  <c r="B266" i="5"/>
  <c r="A266" i="5"/>
  <c r="J265" i="5"/>
  <c r="I265" i="5"/>
  <c r="H265" i="5"/>
  <c r="G265" i="5"/>
  <c r="F265" i="5"/>
  <c r="E265" i="5"/>
  <c r="D265" i="5"/>
  <c r="C265" i="5"/>
  <c r="B265" i="5"/>
  <c r="A265" i="5"/>
  <c r="J264" i="5"/>
  <c r="I264" i="5"/>
  <c r="H264" i="5"/>
  <c r="G264" i="5"/>
  <c r="F264" i="5"/>
  <c r="E264" i="5"/>
  <c r="D264" i="5"/>
  <c r="C264" i="5"/>
  <c r="B264" i="5"/>
  <c r="A264" i="5"/>
  <c r="J263" i="5"/>
  <c r="I263" i="5"/>
  <c r="H263" i="5"/>
  <c r="G263" i="5"/>
  <c r="F263" i="5"/>
  <c r="E263" i="5"/>
  <c r="D263" i="5"/>
  <c r="C263" i="5"/>
  <c r="B263" i="5"/>
  <c r="A263" i="5"/>
  <c r="J262" i="5"/>
  <c r="I262" i="5"/>
  <c r="H262" i="5"/>
  <c r="G262" i="5"/>
  <c r="F262" i="5"/>
  <c r="E262" i="5"/>
  <c r="D262" i="5"/>
  <c r="C262" i="5"/>
  <c r="B262" i="5"/>
  <c r="A262" i="5"/>
  <c r="J261" i="5"/>
  <c r="I261" i="5"/>
  <c r="H261" i="5"/>
  <c r="G261" i="5"/>
  <c r="F261" i="5"/>
  <c r="E261" i="5"/>
  <c r="D261" i="5"/>
  <c r="C261" i="5"/>
  <c r="B261" i="5"/>
  <c r="A261" i="5"/>
  <c r="J260" i="5"/>
  <c r="I260" i="5"/>
  <c r="H260" i="5"/>
  <c r="G260" i="5"/>
  <c r="F260" i="5"/>
  <c r="E260" i="5"/>
  <c r="D260" i="5"/>
  <c r="C260" i="5"/>
  <c r="B260" i="5"/>
  <c r="A260" i="5"/>
  <c r="J259" i="5"/>
  <c r="I259" i="5"/>
  <c r="H259" i="5"/>
  <c r="G259" i="5"/>
  <c r="F259" i="5"/>
  <c r="E259" i="5"/>
  <c r="D259" i="5"/>
  <c r="C259" i="5"/>
  <c r="B259" i="5"/>
  <c r="A259" i="5"/>
  <c r="J258" i="5"/>
  <c r="I258" i="5"/>
  <c r="H258" i="5"/>
  <c r="G258" i="5"/>
  <c r="F258" i="5"/>
  <c r="E258" i="5"/>
  <c r="D258" i="5"/>
  <c r="C258" i="5"/>
  <c r="B258" i="5"/>
  <c r="A258" i="5"/>
  <c r="J257" i="5"/>
  <c r="I257" i="5"/>
  <c r="H257" i="5"/>
  <c r="G257" i="5"/>
  <c r="F257" i="5"/>
  <c r="E257" i="5"/>
  <c r="D257" i="5"/>
  <c r="C257" i="5"/>
  <c r="B257" i="5"/>
  <c r="A257" i="5"/>
  <c r="J256" i="5"/>
  <c r="I256" i="5"/>
  <c r="H256" i="5"/>
  <c r="G256" i="5"/>
  <c r="F256" i="5"/>
  <c r="E256" i="5"/>
  <c r="D256" i="5"/>
  <c r="C256" i="5"/>
  <c r="B256" i="5"/>
  <c r="A256" i="5"/>
  <c r="J255" i="5"/>
  <c r="I255" i="5"/>
  <c r="H255" i="5"/>
  <c r="G255" i="5"/>
  <c r="F255" i="5"/>
  <c r="E255" i="5"/>
  <c r="D255" i="5"/>
  <c r="C255" i="5"/>
  <c r="B255" i="5"/>
  <c r="A255" i="5"/>
  <c r="J254" i="5"/>
  <c r="I254" i="5"/>
  <c r="H254" i="5"/>
  <c r="G254" i="5"/>
  <c r="F254" i="5"/>
  <c r="E254" i="5"/>
  <c r="D254" i="5"/>
  <c r="C254" i="5"/>
  <c r="B254" i="5"/>
  <c r="A254" i="5"/>
  <c r="J253" i="5"/>
  <c r="I253" i="5"/>
  <c r="H253" i="5"/>
  <c r="G253" i="5"/>
  <c r="F253" i="5"/>
  <c r="E253" i="5"/>
  <c r="D253" i="5"/>
  <c r="C253" i="5"/>
  <c r="B253" i="5"/>
  <c r="A253" i="5"/>
  <c r="J252" i="5"/>
  <c r="I252" i="5"/>
  <c r="H252" i="5"/>
  <c r="G252" i="5"/>
  <c r="F252" i="5"/>
  <c r="E252" i="5"/>
  <c r="D252" i="5"/>
  <c r="C252" i="5"/>
  <c r="B252" i="5"/>
  <c r="A252" i="5"/>
  <c r="J251" i="5"/>
  <c r="I251" i="5"/>
  <c r="H251" i="5"/>
  <c r="G251" i="5"/>
  <c r="F251" i="5"/>
  <c r="E251" i="5"/>
  <c r="D251" i="5"/>
  <c r="C251" i="5"/>
  <c r="B251" i="5"/>
  <c r="A251" i="5"/>
  <c r="J250" i="5"/>
  <c r="I250" i="5"/>
  <c r="H250" i="5"/>
  <c r="G250" i="5"/>
  <c r="F250" i="5"/>
  <c r="E250" i="5"/>
  <c r="D250" i="5"/>
  <c r="C250" i="5"/>
  <c r="B250" i="5"/>
  <c r="A250" i="5"/>
  <c r="J249" i="5"/>
  <c r="I249" i="5"/>
  <c r="H249" i="5"/>
  <c r="G249" i="5"/>
  <c r="F249" i="5"/>
  <c r="E249" i="5"/>
  <c r="D249" i="5"/>
  <c r="C249" i="5"/>
  <c r="B249" i="5"/>
  <c r="A249" i="5"/>
  <c r="J248" i="5"/>
  <c r="I248" i="5"/>
  <c r="H248" i="5"/>
  <c r="G248" i="5"/>
  <c r="F248" i="5"/>
  <c r="E248" i="5"/>
  <c r="D248" i="5"/>
  <c r="C248" i="5"/>
  <c r="B248" i="5"/>
  <c r="A248" i="5"/>
  <c r="J247" i="5"/>
  <c r="I247" i="5"/>
  <c r="H247" i="5"/>
  <c r="G247" i="5"/>
  <c r="F247" i="5"/>
  <c r="E247" i="5"/>
  <c r="D247" i="5"/>
  <c r="C247" i="5"/>
  <c r="B247" i="5"/>
  <c r="A247" i="5"/>
  <c r="J246" i="5"/>
  <c r="I246" i="5"/>
  <c r="H246" i="5"/>
  <c r="G246" i="5"/>
  <c r="F246" i="5"/>
  <c r="E246" i="5"/>
  <c r="D246" i="5"/>
  <c r="C246" i="5"/>
  <c r="B246" i="5"/>
  <c r="A246" i="5"/>
  <c r="J245" i="5"/>
  <c r="I245" i="5"/>
  <c r="H245" i="5"/>
  <c r="G245" i="5"/>
  <c r="F245" i="5"/>
  <c r="E245" i="5"/>
  <c r="D245" i="5"/>
  <c r="C245" i="5"/>
  <c r="B245" i="5"/>
  <c r="A245" i="5"/>
  <c r="J244" i="5"/>
  <c r="I244" i="5"/>
  <c r="H244" i="5"/>
  <c r="G244" i="5"/>
  <c r="F244" i="5"/>
  <c r="E244" i="5"/>
  <c r="D244" i="5"/>
  <c r="C244" i="5"/>
  <c r="B244" i="5"/>
  <c r="A244" i="5"/>
  <c r="J243" i="5"/>
  <c r="I243" i="5"/>
  <c r="H243" i="5"/>
  <c r="G243" i="5"/>
  <c r="F243" i="5"/>
  <c r="E243" i="5"/>
  <c r="D243" i="5"/>
  <c r="C243" i="5"/>
  <c r="B243" i="5"/>
  <c r="A243" i="5"/>
  <c r="J242" i="5"/>
  <c r="I242" i="5"/>
  <c r="H242" i="5"/>
  <c r="G242" i="5"/>
  <c r="F242" i="5"/>
  <c r="E242" i="5"/>
  <c r="D242" i="5"/>
  <c r="C242" i="5"/>
  <c r="B242" i="5"/>
  <c r="A242" i="5"/>
  <c r="J241" i="5"/>
  <c r="I241" i="5"/>
  <c r="H241" i="5"/>
  <c r="G241" i="5"/>
  <c r="F241" i="5"/>
  <c r="E241" i="5"/>
  <c r="D241" i="5"/>
  <c r="C241" i="5"/>
  <c r="B241" i="5"/>
  <c r="A241" i="5"/>
  <c r="J240" i="5"/>
  <c r="I240" i="5"/>
  <c r="H240" i="5"/>
  <c r="G240" i="5"/>
  <c r="F240" i="5"/>
  <c r="E240" i="5"/>
  <c r="D240" i="5"/>
  <c r="C240" i="5"/>
  <c r="B240" i="5"/>
  <c r="A240" i="5"/>
  <c r="J239" i="5"/>
  <c r="I239" i="5"/>
  <c r="H239" i="5"/>
  <c r="G239" i="5"/>
  <c r="F239" i="5"/>
  <c r="E239" i="5"/>
  <c r="D239" i="5"/>
  <c r="C239" i="5"/>
  <c r="B239" i="5"/>
  <c r="A239" i="5"/>
  <c r="J238" i="5"/>
  <c r="I238" i="5"/>
  <c r="H238" i="5"/>
  <c r="G238" i="5"/>
  <c r="F238" i="5"/>
  <c r="E238" i="5"/>
  <c r="D238" i="5"/>
  <c r="C238" i="5"/>
  <c r="B238" i="5"/>
  <c r="A238" i="5"/>
  <c r="J237" i="5"/>
  <c r="I237" i="5"/>
  <c r="H237" i="5"/>
  <c r="G237" i="5"/>
  <c r="F237" i="5"/>
  <c r="E237" i="5"/>
  <c r="D237" i="5"/>
  <c r="C237" i="5"/>
  <c r="B237" i="5"/>
  <c r="A237" i="5"/>
  <c r="J236" i="5"/>
  <c r="I236" i="5"/>
  <c r="H236" i="5"/>
  <c r="G236" i="5"/>
  <c r="F236" i="5"/>
  <c r="E236" i="5"/>
  <c r="D236" i="5"/>
  <c r="C236" i="5"/>
  <c r="B236" i="5"/>
  <c r="A236" i="5"/>
  <c r="J235" i="5"/>
  <c r="I235" i="5"/>
  <c r="H235" i="5"/>
  <c r="G235" i="5"/>
  <c r="F235" i="5"/>
  <c r="E235" i="5"/>
  <c r="D235" i="5"/>
  <c r="C235" i="5"/>
  <c r="B235" i="5"/>
  <c r="A235" i="5"/>
  <c r="J234" i="5"/>
  <c r="I234" i="5"/>
  <c r="H234" i="5"/>
  <c r="G234" i="5"/>
  <c r="F234" i="5"/>
  <c r="E234" i="5"/>
  <c r="D234" i="5"/>
  <c r="C234" i="5"/>
  <c r="B234" i="5"/>
  <c r="A234" i="5"/>
  <c r="J233" i="5"/>
  <c r="I233" i="5"/>
  <c r="H233" i="5"/>
  <c r="G233" i="5"/>
  <c r="F233" i="5"/>
  <c r="E233" i="5"/>
  <c r="D233" i="5"/>
  <c r="C233" i="5"/>
  <c r="B233" i="5"/>
  <c r="A233" i="5"/>
  <c r="J232" i="5"/>
  <c r="I232" i="5"/>
  <c r="H232" i="5"/>
  <c r="G232" i="5"/>
  <c r="F232" i="5"/>
  <c r="E232" i="5"/>
  <c r="D232" i="5"/>
  <c r="C232" i="5"/>
  <c r="B232" i="5"/>
  <c r="A232" i="5"/>
  <c r="J231" i="5"/>
  <c r="I231" i="5"/>
  <c r="H231" i="5"/>
  <c r="G231" i="5"/>
  <c r="F231" i="5"/>
  <c r="E231" i="5"/>
  <c r="D231" i="5"/>
  <c r="C231" i="5"/>
  <c r="B231" i="5"/>
  <c r="A231" i="5"/>
  <c r="J230" i="5"/>
  <c r="I230" i="5"/>
  <c r="H230" i="5"/>
  <c r="G230" i="5"/>
  <c r="F230" i="5"/>
  <c r="E230" i="5"/>
  <c r="D230" i="5"/>
  <c r="C230" i="5"/>
  <c r="B230" i="5"/>
  <c r="A230" i="5"/>
  <c r="J229" i="5"/>
  <c r="I229" i="5"/>
  <c r="H229" i="5"/>
  <c r="G229" i="5"/>
  <c r="F229" i="5"/>
  <c r="E229" i="5"/>
  <c r="D229" i="5"/>
  <c r="C229" i="5"/>
  <c r="B229" i="5"/>
  <c r="A229" i="5"/>
  <c r="J228" i="5"/>
  <c r="I228" i="5"/>
  <c r="H228" i="5"/>
  <c r="G228" i="5"/>
  <c r="F228" i="5"/>
  <c r="E228" i="5"/>
  <c r="D228" i="5"/>
  <c r="C228" i="5"/>
  <c r="B228" i="5"/>
  <c r="A228" i="5"/>
  <c r="J227" i="5"/>
  <c r="I227" i="5"/>
  <c r="H227" i="5"/>
  <c r="G227" i="5"/>
  <c r="F227" i="5"/>
  <c r="E227" i="5"/>
  <c r="D227" i="5"/>
  <c r="C227" i="5"/>
  <c r="B227" i="5"/>
  <c r="A227" i="5"/>
  <c r="J226" i="5"/>
  <c r="I226" i="5"/>
  <c r="H226" i="5"/>
  <c r="G226" i="5"/>
  <c r="F226" i="5"/>
  <c r="E226" i="5"/>
  <c r="D226" i="5"/>
  <c r="C226" i="5"/>
  <c r="B226" i="5"/>
  <c r="A226" i="5"/>
  <c r="J225" i="5"/>
  <c r="I225" i="5"/>
  <c r="H225" i="5"/>
  <c r="G225" i="5"/>
  <c r="F225" i="5"/>
  <c r="E225" i="5"/>
  <c r="D225" i="5"/>
  <c r="C225" i="5"/>
  <c r="B225" i="5"/>
  <c r="A225" i="5"/>
  <c r="J224" i="5"/>
  <c r="I224" i="5"/>
  <c r="H224" i="5"/>
  <c r="G224" i="5"/>
  <c r="F224" i="5"/>
  <c r="E224" i="5"/>
  <c r="D224" i="5"/>
  <c r="C224" i="5"/>
  <c r="B224" i="5"/>
  <c r="A224" i="5"/>
  <c r="J223" i="5"/>
  <c r="I223" i="5"/>
  <c r="H223" i="5"/>
  <c r="G223" i="5"/>
  <c r="F223" i="5"/>
  <c r="E223" i="5"/>
  <c r="D223" i="5"/>
  <c r="C223" i="5"/>
  <c r="B223" i="5"/>
  <c r="A223" i="5"/>
  <c r="J222" i="5"/>
  <c r="I222" i="5"/>
  <c r="H222" i="5"/>
  <c r="G222" i="5"/>
  <c r="F222" i="5"/>
  <c r="E222" i="5"/>
  <c r="D222" i="5"/>
  <c r="C222" i="5"/>
  <c r="B222" i="5"/>
  <c r="A222" i="5"/>
  <c r="J221" i="5"/>
  <c r="I221" i="5"/>
  <c r="H221" i="5"/>
  <c r="G221" i="5"/>
  <c r="F221" i="5"/>
  <c r="E221" i="5"/>
  <c r="D221" i="5"/>
  <c r="C221" i="5"/>
  <c r="B221" i="5"/>
  <c r="A221" i="5"/>
  <c r="J220" i="5"/>
  <c r="I220" i="5"/>
  <c r="H220" i="5"/>
  <c r="G220" i="5"/>
  <c r="F220" i="5"/>
  <c r="E220" i="5"/>
  <c r="D220" i="5"/>
  <c r="C220" i="5"/>
  <c r="B220" i="5"/>
  <c r="A220" i="5"/>
  <c r="J219" i="5"/>
  <c r="I219" i="5"/>
  <c r="H219" i="5"/>
  <c r="G219" i="5"/>
  <c r="F219" i="5"/>
  <c r="E219" i="5"/>
  <c r="D219" i="5"/>
  <c r="C219" i="5"/>
  <c r="B219" i="5"/>
  <c r="A219" i="5"/>
  <c r="J218" i="5"/>
  <c r="I218" i="5"/>
  <c r="H218" i="5"/>
  <c r="G218" i="5"/>
  <c r="F218" i="5"/>
  <c r="E218" i="5"/>
  <c r="D218" i="5"/>
  <c r="C218" i="5"/>
  <c r="B218" i="5"/>
  <c r="A218" i="5"/>
  <c r="J217" i="5"/>
  <c r="I217" i="5"/>
  <c r="H217" i="5"/>
  <c r="G217" i="5"/>
  <c r="F217" i="5"/>
  <c r="E217" i="5"/>
  <c r="D217" i="5"/>
  <c r="C217" i="5"/>
  <c r="B217" i="5"/>
  <c r="A217" i="5"/>
  <c r="J216" i="5"/>
  <c r="I216" i="5"/>
  <c r="H216" i="5"/>
  <c r="G216" i="5"/>
  <c r="F216" i="5"/>
  <c r="E216" i="5"/>
  <c r="D216" i="5"/>
  <c r="C216" i="5"/>
  <c r="B216" i="5"/>
  <c r="A216" i="5"/>
  <c r="J215" i="5"/>
  <c r="I215" i="5"/>
  <c r="H215" i="5"/>
  <c r="G215" i="5"/>
  <c r="F215" i="5"/>
  <c r="E215" i="5"/>
  <c r="D215" i="5"/>
  <c r="C215" i="5"/>
  <c r="B215" i="5"/>
  <c r="A215" i="5"/>
  <c r="J214" i="5"/>
  <c r="I214" i="5"/>
  <c r="H214" i="5"/>
  <c r="G214" i="5"/>
  <c r="F214" i="5"/>
  <c r="E214" i="5"/>
  <c r="D214" i="5"/>
  <c r="C214" i="5"/>
  <c r="B214" i="5"/>
  <c r="A214" i="5"/>
  <c r="J213" i="5"/>
  <c r="I213" i="5"/>
  <c r="H213" i="5"/>
  <c r="G213" i="5"/>
  <c r="F213" i="5"/>
  <c r="E213" i="5"/>
  <c r="D213" i="5"/>
  <c r="C213" i="5"/>
  <c r="B213" i="5"/>
  <c r="A213" i="5"/>
  <c r="J212" i="5"/>
  <c r="I212" i="5"/>
  <c r="H212" i="5"/>
  <c r="G212" i="5"/>
  <c r="F212" i="5"/>
  <c r="E212" i="5"/>
  <c r="D212" i="5"/>
  <c r="C212" i="5"/>
  <c r="B212" i="5"/>
  <c r="A212" i="5"/>
  <c r="J211" i="5"/>
  <c r="I211" i="5"/>
  <c r="H211" i="5"/>
  <c r="G211" i="5"/>
  <c r="F211" i="5"/>
  <c r="E211" i="5"/>
  <c r="D211" i="5"/>
  <c r="C211" i="5"/>
  <c r="B211" i="5"/>
  <c r="A211" i="5"/>
  <c r="J210" i="5"/>
  <c r="I210" i="5"/>
  <c r="H210" i="5"/>
  <c r="G210" i="5"/>
  <c r="F210" i="5"/>
  <c r="E210" i="5"/>
  <c r="D210" i="5"/>
  <c r="C210" i="5"/>
  <c r="B210" i="5"/>
  <c r="A210" i="5"/>
  <c r="J209" i="5"/>
  <c r="I209" i="5"/>
  <c r="H209" i="5"/>
  <c r="G209" i="5"/>
  <c r="F209" i="5"/>
  <c r="E209" i="5"/>
  <c r="D209" i="5"/>
  <c r="C209" i="5"/>
  <c r="B209" i="5"/>
  <c r="A209" i="5"/>
  <c r="J208" i="5"/>
  <c r="I208" i="5"/>
  <c r="H208" i="5"/>
  <c r="G208" i="5"/>
  <c r="F208" i="5"/>
  <c r="E208" i="5"/>
  <c r="D208" i="5"/>
  <c r="C208" i="5"/>
  <c r="B208" i="5"/>
  <c r="A208" i="5"/>
  <c r="J207" i="5"/>
  <c r="I207" i="5"/>
  <c r="H207" i="5"/>
  <c r="G207" i="5"/>
  <c r="F207" i="5"/>
  <c r="E207" i="5"/>
  <c r="D207" i="5"/>
  <c r="C207" i="5"/>
  <c r="B207" i="5"/>
  <c r="A207" i="5"/>
  <c r="J206" i="5"/>
  <c r="I206" i="5"/>
  <c r="H206" i="5"/>
  <c r="G206" i="5"/>
  <c r="F206" i="5"/>
  <c r="E206" i="5"/>
  <c r="D206" i="5"/>
  <c r="C206" i="5"/>
  <c r="B206" i="5"/>
  <c r="A206" i="5"/>
  <c r="J205" i="5"/>
  <c r="I205" i="5"/>
  <c r="H205" i="5"/>
  <c r="G205" i="5"/>
  <c r="F205" i="5"/>
  <c r="E205" i="5"/>
  <c r="D205" i="5"/>
  <c r="C205" i="5"/>
  <c r="B205" i="5"/>
  <c r="A205" i="5"/>
  <c r="J204" i="5"/>
  <c r="I204" i="5"/>
  <c r="H204" i="5"/>
  <c r="G204" i="5"/>
  <c r="F204" i="5"/>
  <c r="E204" i="5"/>
  <c r="D204" i="5"/>
  <c r="C204" i="5"/>
  <c r="B204" i="5"/>
  <c r="A204" i="5"/>
  <c r="J203" i="5"/>
  <c r="I203" i="5"/>
  <c r="H203" i="5"/>
  <c r="G203" i="5"/>
  <c r="F203" i="5"/>
  <c r="E203" i="5"/>
  <c r="D203" i="5"/>
  <c r="C203" i="5"/>
  <c r="B203" i="5"/>
  <c r="A203" i="5"/>
  <c r="J202" i="5"/>
  <c r="I202" i="5"/>
  <c r="H202" i="5"/>
  <c r="G202" i="5"/>
  <c r="F202" i="5"/>
  <c r="E202" i="5"/>
  <c r="D202" i="5"/>
  <c r="C202" i="5"/>
  <c r="B202" i="5"/>
  <c r="A202" i="5"/>
  <c r="J201" i="5"/>
  <c r="I201" i="5"/>
  <c r="H201" i="5"/>
  <c r="G201" i="5"/>
  <c r="F201" i="5"/>
  <c r="E201" i="5"/>
  <c r="D201" i="5"/>
  <c r="C201" i="5"/>
  <c r="B201" i="5"/>
  <c r="A201" i="5"/>
  <c r="J200" i="5"/>
  <c r="I200" i="5"/>
  <c r="H200" i="5"/>
  <c r="G200" i="5"/>
  <c r="F200" i="5"/>
  <c r="E200" i="5"/>
  <c r="D200" i="5"/>
  <c r="C200" i="5"/>
  <c r="B200" i="5"/>
  <c r="A200" i="5"/>
  <c r="J199" i="5"/>
  <c r="I199" i="5"/>
  <c r="H199" i="5"/>
  <c r="G199" i="5"/>
  <c r="F199" i="5"/>
  <c r="E199" i="5"/>
  <c r="D199" i="5"/>
  <c r="C199" i="5"/>
  <c r="B199" i="5"/>
  <c r="A199" i="5"/>
  <c r="J198" i="5"/>
  <c r="I198" i="5"/>
  <c r="H198" i="5"/>
  <c r="G198" i="5"/>
  <c r="F198" i="5"/>
  <c r="E198" i="5"/>
  <c r="D198" i="5"/>
  <c r="C198" i="5"/>
  <c r="B198" i="5"/>
  <c r="A198" i="5"/>
  <c r="J197" i="5"/>
  <c r="I197" i="5"/>
  <c r="H197" i="5"/>
  <c r="G197" i="5"/>
  <c r="F197" i="5"/>
  <c r="E197" i="5"/>
  <c r="D197" i="5"/>
  <c r="C197" i="5"/>
  <c r="B197" i="5"/>
  <c r="A197" i="5"/>
  <c r="J196" i="5"/>
  <c r="I196" i="5"/>
  <c r="H196" i="5"/>
  <c r="G196" i="5"/>
  <c r="F196" i="5"/>
  <c r="E196" i="5"/>
  <c r="D196" i="5"/>
  <c r="C196" i="5"/>
  <c r="B196" i="5"/>
  <c r="A196" i="5"/>
  <c r="J195" i="5"/>
  <c r="I195" i="5"/>
  <c r="H195" i="5"/>
  <c r="G195" i="5"/>
  <c r="F195" i="5"/>
  <c r="E195" i="5"/>
  <c r="D195" i="5"/>
  <c r="C195" i="5"/>
  <c r="B195" i="5"/>
  <c r="A195" i="5"/>
  <c r="J194" i="5"/>
  <c r="I194" i="5"/>
  <c r="H194" i="5"/>
  <c r="G194" i="5"/>
  <c r="F194" i="5"/>
  <c r="E194" i="5"/>
  <c r="D194" i="5"/>
  <c r="C194" i="5"/>
  <c r="B194" i="5"/>
  <c r="A194" i="5"/>
  <c r="J193" i="5"/>
  <c r="I193" i="5"/>
  <c r="H193" i="5"/>
  <c r="G193" i="5"/>
  <c r="F193" i="5"/>
  <c r="E193" i="5"/>
  <c r="D193" i="5"/>
  <c r="C193" i="5"/>
  <c r="B193" i="5"/>
  <c r="A193" i="5"/>
  <c r="J192" i="5"/>
  <c r="I192" i="5"/>
  <c r="H192" i="5"/>
  <c r="G192" i="5"/>
  <c r="F192" i="5"/>
  <c r="E192" i="5"/>
  <c r="D192" i="5"/>
  <c r="C192" i="5"/>
  <c r="B192" i="5"/>
  <c r="A192" i="5"/>
  <c r="J191" i="5"/>
  <c r="I191" i="5"/>
  <c r="H191" i="5"/>
  <c r="G191" i="5"/>
  <c r="F191" i="5"/>
  <c r="E191" i="5"/>
  <c r="D191" i="5"/>
  <c r="C191" i="5"/>
  <c r="B191" i="5"/>
  <c r="A191" i="5"/>
  <c r="J190" i="5"/>
  <c r="I190" i="5"/>
  <c r="H190" i="5"/>
  <c r="G190" i="5"/>
  <c r="F190" i="5"/>
  <c r="E190" i="5"/>
  <c r="D190" i="5"/>
  <c r="C190" i="5"/>
  <c r="B190" i="5"/>
  <c r="A190" i="5"/>
  <c r="J189" i="5"/>
  <c r="I189" i="5"/>
  <c r="H189" i="5"/>
  <c r="G189" i="5"/>
  <c r="F189" i="5"/>
  <c r="E189" i="5"/>
  <c r="D189" i="5"/>
  <c r="C189" i="5"/>
  <c r="B189" i="5"/>
  <c r="A189" i="5"/>
  <c r="J188" i="5"/>
  <c r="I188" i="5"/>
  <c r="H188" i="5"/>
  <c r="G188" i="5"/>
  <c r="F188" i="5"/>
  <c r="E188" i="5"/>
  <c r="D188" i="5"/>
  <c r="C188" i="5"/>
  <c r="B188" i="5"/>
  <c r="A188" i="5"/>
  <c r="J187" i="5"/>
  <c r="I187" i="5"/>
  <c r="H187" i="5"/>
  <c r="G187" i="5"/>
  <c r="F187" i="5"/>
  <c r="E187" i="5"/>
  <c r="D187" i="5"/>
  <c r="C187" i="5"/>
  <c r="B187" i="5"/>
  <c r="A187" i="5"/>
  <c r="J186" i="5"/>
  <c r="I186" i="5"/>
  <c r="H186" i="5"/>
  <c r="G186" i="5"/>
  <c r="F186" i="5"/>
  <c r="E186" i="5"/>
  <c r="D186" i="5"/>
  <c r="C186" i="5"/>
  <c r="B186" i="5"/>
  <c r="A186" i="5"/>
  <c r="J185" i="5"/>
  <c r="I185" i="5"/>
  <c r="H185" i="5"/>
  <c r="G185" i="5"/>
  <c r="F185" i="5"/>
  <c r="E185" i="5"/>
  <c r="D185" i="5"/>
  <c r="C185" i="5"/>
  <c r="B185" i="5"/>
  <c r="A185" i="5"/>
  <c r="J184" i="5"/>
  <c r="I184" i="5"/>
  <c r="H184" i="5"/>
  <c r="G184" i="5"/>
  <c r="F184" i="5"/>
  <c r="E184" i="5"/>
  <c r="D184" i="5"/>
  <c r="C184" i="5"/>
  <c r="B184" i="5"/>
  <c r="A184" i="5"/>
  <c r="J183" i="5"/>
  <c r="I183" i="5"/>
  <c r="H183" i="5"/>
  <c r="G183" i="5"/>
  <c r="F183" i="5"/>
  <c r="E183" i="5"/>
  <c r="D183" i="5"/>
  <c r="C183" i="5"/>
  <c r="B183" i="5"/>
  <c r="A183" i="5"/>
  <c r="J182" i="5"/>
  <c r="I182" i="5"/>
  <c r="H182" i="5"/>
  <c r="G182" i="5"/>
  <c r="F182" i="5"/>
  <c r="E182" i="5"/>
  <c r="D182" i="5"/>
  <c r="C182" i="5"/>
  <c r="B182" i="5"/>
  <c r="A182" i="5"/>
  <c r="J181" i="5"/>
  <c r="I181" i="5"/>
  <c r="H181" i="5"/>
  <c r="G181" i="5"/>
  <c r="F181" i="5"/>
  <c r="E181" i="5"/>
  <c r="D181" i="5"/>
  <c r="C181" i="5"/>
  <c r="B181" i="5"/>
  <c r="A181" i="5"/>
  <c r="J180" i="5"/>
  <c r="I180" i="5"/>
  <c r="H180" i="5"/>
  <c r="G180" i="5"/>
  <c r="F180" i="5"/>
  <c r="E180" i="5"/>
  <c r="D180" i="5"/>
  <c r="C180" i="5"/>
  <c r="B180" i="5"/>
  <c r="A180" i="5"/>
  <c r="J179" i="5"/>
  <c r="I179" i="5"/>
  <c r="H179" i="5"/>
  <c r="G179" i="5"/>
  <c r="F179" i="5"/>
  <c r="E179" i="5"/>
  <c r="D179" i="5"/>
  <c r="C179" i="5"/>
  <c r="B179" i="5"/>
  <c r="A179" i="5"/>
  <c r="J178" i="5"/>
  <c r="I178" i="5"/>
  <c r="H178" i="5"/>
  <c r="G178" i="5"/>
  <c r="F178" i="5"/>
  <c r="E178" i="5"/>
  <c r="D178" i="5"/>
  <c r="C178" i="5"/>
  <c r="B178" i="5"/>
  <c r="A178" i="5"/>
  <c r="J177" i="5"/>
  <c r="I177" i="5"/>
  <c r="H177" i="5"/>
  <c r="G177" i="5"/>
  <c r="F177" i="5"/>
  <c r="E177" i="5"/>
  <c r="D177" i="5"/>
  <c r="C177" i="5"/>
  <c r="B177" i="5"/>
  <c r="A177" i="5"/>
  <c r="J176" i="5"/>
  <c r="I176" i="5"/>
  <c r="H176" i="5"/>
  <c r="G176" i="5"/>
  <c r="F176" i="5"/>
  <c r="E176" i="5"/>
  <c r="D176" i="5"/>
  <c r="C176" i="5"/>
  <c r="B176" i="5"/>
  <c r="A176" i="5"/>
  <c r="J175" i="5"/>
  <c r="I175" i="5"/>
  <c r="H175" i="5"/>
  <c r="G175" i="5"/>
  <c r="F175" i="5"/>
  <c r="E175" i="5"/>
  <c r="D175" i="5"/>
  <c r="C175" i="5"/>
  <c r="B175" i="5"/>
  <c r="A175" i="5"/>
  <c r="J174" i="5"/>
  <c r="I174" i="5"/>
  <c r="H174" i="5"/>
  <c r="G174" i="5"/>
  <c r="F174" i="5"/>
  <c r="E174" i="5"/>
  <c r="D174" i="5"/>
  <c r="C174" i="5"/>
  <c r="B174" i="5"/>
  <c r="A174" i="5"/>
  <c r="J173" i="5"/>
  <c r="I173" i="5"/>
  <c r="H173" i="5"/>
  <c r="G173" i="5"/>
  <c r="F173" i="5"/>
  <c r="E173" i="5"/>
  <c r="D173" i="5"/>
  <c r="C173" i="5"/>
  <c r="B173" i="5"/>
  <c r="A173" i="5"/>
  <c r="J172" i="5"/>
  <c r="I172" i="5"/>
  <c r="H172" i="5"/>
  <c r="G172" i="5"/>
  <c r="F172" i="5"/>
  <c r="E172" i="5"/>
  <c r="D172" i="5"/>
  <c r="C172" i="5"/>
  <c r="B172" i="5"/>
  <c r="A172" i="5"/>
  <c r="J171" i="5"/>
  <c r="I171" i="5"/>
  <c r="H171" i="5"/>
  <c r="G171" i="5"/>
  <c r="F171" i="5"/>
  <c r="E171" i="5"/>
  <c r="D171" i="5"/>
  <c r="C171" i="5"/>
  <c r="B171" i="5"/>
  <c r="A171" i="5"/>
  <c r="J170" i="5"/>
  <c r="I170" i="5"/>
  <c r="H170" i="5"/>
  <c r="G170" i="5"/>
  <c r="F170" i="5"/>
  <c r="E170" i="5"/>
  <c r="D170" i="5"/>
  <c r="C170" i="5"/>
  <c r="B170" i="5"/>
  <c r="A170" i="5"/>
  <c r="J169" i="5"/>
  <c r="I169" i="5"/>
  <c r="H169" i="5"/>
  <c r="G169" i="5"/>
  <c r="F169" i="5"/>
  <c r="E169" i="5"/>
  <c r="D169" i="5"/>
  <c r="C169" i="5"/>
  <c r="B169" i="5"/>
  <c r="A169" i="5"/>
  <c r="J168" i="5"/>
  <c r="I168" i="5"/>
  <c r="H168" i="5"/>
  <c r="G168" i="5"/>
  <c r="F168" i="5"/>
  <c r="E168" i="5"/>
  <c r="D168" i="5"/>
  <c r="C168" i="5"/>
  <c r="B168" i="5"/>
  <c r="A168" i="5"/>
  <c r="J167" i="5"/>
  <c r="I167" i="5"/>
  <c r="H167" i="5"/>
  <c r="G167" i="5"/>
  <c r="F167" i="5"/>
  <c r="E167" i="5"/>
  <c r="D167" i="5"/>
  <c r="C167" i="5"/>
  <c r="B167" i="5"/>
  <c r="A167" i="5"/>
  <c r="J166" i="5"/>
  <c r="I166" i="5"/>
  <c r="H166" i="5"/>
  <c r="G166" i="5"/>
  <c r="F166" i="5"/>
  <c r="E166" i="5"/>
  <c r="D166" i="5"/>
  <c r="C166" i="5"/>
  <c r="B166" i="5"/>
  <c r="A166" i="5"/>
  <c r="J165" i="5"/>
  <c r="I165" i="5"/>
  <c r="H165" i="5"/>
  <c r="G165" i="5"/>
  <c r="F165" i="5"/>
  <c r="E165" i="5"/>
  <c r="D165" i="5"/>
  <c r="C165" i="5"/>
  <c r="B165" i="5"/>
  <c r="A165" i="5"/>
  <c r="J164" i="5"/>
  <c r="I164" i="5"/>
  <c r="H164" i="5"/>
  <c r="G164" i="5"/>
  <c r="F164" i="5"/>
  <c r="E164" i="5"/>
  <c r="D164" i="5"/>
  <c r="C164" i="5"/>
  <c r="B164" i="5"/>
  <c r="A164" i="5"/>
  <c r="J163" i="5"/>
  <c r="I163" i="5"/>
  <c r="H163" i="5"/>
  <c r="G163" i="5"/>
  <c r="F163" i="5"/>
  <c r="E163" i="5"/>
  <c r="D163" i="5"/>
  <c r="C163" i="5"/>
  <c r="B163" i="5"/>
  <c r="A163" i="5"/>
  <c r="J162" i="5"/>
  <c r="I162" i="5"/>
  <c r="H162" i="5"/>
  <c r="G162" i="5"/>
  <c r="F162" i="5"/>
  <c r="E162" i="5"/>
  <c r="D162" i="5"/>
  <c r="C162" i="5"/>
  <c r="B162" i="5"/>
  <c r="A162" i="5"/>
  <c r="J161" i="5"/>
  <c r="I161" i="5"/>
  <c r="H161" i="5"/>
  <c r="G161" i="5"/>
  <c r="F161" i="5"/>
  <c r="E161" i="5"/>
  <c r="D161" i="5"/>
  <c r="C161" i="5"/>
  <c r="B161" i="5"/>
  <c r="A161" i="5"/>
  <c r="J160" i="5"/>
  <c r="I160" i="5"/>
  <c r="H160" i="5"/>
  <c r="G160" i="5"/>
  <c r="F160" i="5"/>
  <c r="E160" i="5"/>
  <c r="D160" i="5"/>
  <c r="C160" i="5"/>
  <c r="B160" i="5"/>
  <c r="A160" i="5"/>
  <c r="J159" i="5"/>
  <c r="I159" i="5"/>
  <c r="H159" i="5"/>
  <c r="G159" i="5"/>
  <c r="F159" i="5"/>
  <c r="E159" i="5"/>
  <c r="D159" i="5"/>
  <c r="C159" i="5"/>
  <c r="B159" i="5"/>
  <c r="A159" i="5"/>
  <c r="J158" i="5"/>
  <c r="I158" i="5"/>
  <c r="H158" i="5"/>
  <c r="G158" i="5"/>
  <c r="F158" i="5"/>
  <c r="E158" i="5"/>
  <c r="D158" i="5"/>
  <c r="C158" i="5"/>
  <c r="B158" i="5"/>
  <c r="A158" i="5"/>
  <c r="J157" i="5"/>
  <c r="I157" i="5"/>
  <c r="H157" i="5"/>
  <c r="G157" i="5"/>
  <c r="F157" i="5"/>
  <c r="E157" i="5"/>
  <c r="D157" i="5"/>
  <c r="C157" i="5"/>
  <c r="B157" i="5"/>
  <c r="A157" i="5"/>
  <c r="J156" i="5"/>
  <c r="I156" i="5"/>
  <c r="H156" i="5"/>
  <c r="G156" i="5"/>
  <c r="F156" i="5"/>
  <c r="E156" i="5"/>
  <c r="D156" i="5"/>
  <c r="C156" i="5"/>
  <c r="B156" i="5"/>
  <c r="A156" i="5"/>
  <c r="J155" i="5"/>
  <c r="I155" i="5"/>
  <c r="H155" i="5"/>
  <c r="G155" i="5"/>
  <c r="F155" i="5"/>
  <c r="E155" i="5"/>
  <c r="D155" i="5"/>
  <c r="C155" i="5"/>
  <c r="B155" i="5"/>
  <c r="A155" i="5"/>
  <c r="J154" i="5"/>
  <c r="I154" i="5"/>
  <c r="H154" i="5"/>
  <c r="G154" i="5"/>
  <c r="F154" i="5"/>
  <c r="E154" i="5"/>
  <c r="D154" i="5"/>
  <c r="C154" i="5"/>
  <c r="B154" i="5"/>
  <c r="A154" i="5"/>
  <c r="J153" i="5"/>
  <c r="I153" i="5"/>
  <c r="H153" i="5"/>
  <c r="G153" i="5"/>
  <c r="F153" i="5"/>
  <c r="E153" i="5"/>
  <c r="D153" i="5"/>
  <c r="C153" i="5"/>
  <c r="B153" i="5"/>
  <c r="A153" i="5"/>
  <c r="J152" i="5"/>
  <c r="I152" i="5"/>
  <c r="H152" i="5"/>
  <c r="G152" i="5"/>
  <c r="F152" i="5"/>
  <c r="E152" i="5"/>
  <c r="D152" i="5"/>
  <c r="C152" i="5"/>
  <c r="B152" i="5"/>
  <c r="A152" i="5"/>
  <c r="J151" i="5"/>
  <c r="I151" i="5"/>
  <c r="H151" i="5"/>
  <c r="G151" i="5"/>
  <c r="F151" i="5"/>
  <c r="E151" i="5"/>
  <c r="D151" i="5"/>
  <c r="C151" i="5"/>
  <c r="B151" i="5"/>
  <c r="A151" i="5"/>
  <c r="J150" i="5"/>
  <c r="I150" i="5"/>
  <c r="H150" i="5"/>
  <c r="G150" i="5"/>
  <c r="F150" i="5"/>
  <c r="E150" i="5"/>
  <c r="D150" i="5"/>
  <c r="C150" i="5"/>
  <c r="B150" i="5"/>
  <c r="A150" i="5"/>
  <c r="J149" i="5"/>
  <c r="I149" i="5"/>
  <c r="H149" i="5"/>
  <c r="G149" i="5"/>
  <c r="F149" i="5"/>
  <c r="E149" i="5"/>
  <c r="D149" i="5"/>
  <c r="C149" i="5"/>
  <c r="B149" i="5"/>
  <c r="A149" i="5"/>
  <c r="J148" i="5"/>
  <c r="I148" i="5"/>
  <c r="H148" i="5"/>
  <c r="G148" i="5"/>
  <c r="F148" i="5"/>
  <c r="E148" i="5"/>
  <c r="D148" i="5"/>
  <c r="C148" i="5"/>
  <c r="B148" i="5"/>
  <c r="A148" i="5"/>
  <c r="J147" i="5"/>
  <c r="I147" i="5"/>
  <c r="H147" i="5"/>
  <c r="G147" i="5"/>
  <c r="F147" i="5"/>
  <c r="E147" i="5"/>
  <c r="D147" i="5"/>
  <c r="C147" i="5"/>
  <c r="B147" i="5"/>
  <c r="A147" i="5"/>
  <c r="J146" i="5"/>
  <c r="I146" i="5"/>
  <c r="H146" i="5"/>
  <c r="G146" i="5"/>
  <c r="F146" i="5"/>
  <c r="E146" i="5"/>
  <c r="D146" i="5"/>
  <c r="C146" i="5"/>
  <c r="B146" i="5"/>
  <c r="A146" i="5"/>
  <c r="J145" i="5"/>
  <c r="I145" i="5"/>
  <c r="H145" i="5"/>
  <c r="G145" i="5"/>
  <c r="F145" i="5"/>
  <c r="E145" i="5"/>
  <c r="D145" i="5"/>
  <c r="C145" i="5"/>
  <c r="B145" i="5"/>
  <c r="A145" i="5"/>
  <c r="J144" i="5"/>
  <c r="I144" i="5"/>
  <c r="H144" i="5"/>
  <c r="G144" i="5"/>
  <c r="F144" i="5"/>
  <c r="E144" i="5"/>
  <c r="D144" i="5"/>
  <c r="C144" i="5"/>
  <c r="B144" i="5"/>
  <c r="A144" i="5"/>
  <c r="J143" i="5"/>
  <c r="I143" i="5"/>
  <c r="H143" i="5"/>
  <c r="G143" i="5"/>
  <c r="F143" i="5"/>
  <c r="E143" i="5"/>
  <c r="D143" i="5"/>
  <c r="C143" i="5"/>
  <c r="B143" i="5"/>
  <c r="A143" i="5"/>
  <c r="J142" i="5"/>
  <c r="I142" i="5"/>
  <c r="H142" i="5"/>
  <c r="G142" i="5"/>
  <c r="F142" i="5"/>
  <c r="E142" i="5"/>
  <c r="D142" i="5"/>
  <c r="C142" i="5"/>
  <c r="B142" i="5"/>
  <c r="A142" i="5"/>
  <c r="J141" i="5"/>
  <c r="I141" i="5"/>
  <c r="H141" i="5"/>
  <c r="G141" i="5"/>
  <c r="F141" i="5"/>
  <c r="E141" i="5"/>
  <c r="D141" i="5"/>
  <c r="C141" i="5"/>
  <c r="B141" i="5"/>
  <c r="A141" i="5"/>
  <c r="J140" i="5"/>
  <c r="I140" i="5"/>
  <c r="H140" i="5"/>
  <c r="G140" i="5"/>
  <c r="F140" i="5"/>
  <c r="E140" i="5"/>
  <c r="D140" i="5"/>
  <c r="C140" i="5"/>
  <c r="B140" i="5"/>
  <c r="A140" i="5"/>
  <c r="J139" i="5"/>
  <c r="I139" i="5"/>
  <c r="H139" i="5"/>
  <c r="G139" i="5"/>
  <c r="F139" i="5"/>
  <c r="E139" i="5"/>
  <c r="D139" i="5"/>
  <c r="C139" i="5"/>
  <c r="B139" i="5"/>
  <c r="A139" i="5"/>
  <c r="J138" i="5"/>
  <c r="I138" i="5"/>
  <c r="H138" i="5"/>
  <c r="G138" i="5"/>
  <c r="F138" i="5"/>
  <c r="E138" i="5"/>
  <c r="D138" i="5"/>
  <c r="C138" i="5"/>
  <c r="B138" i="5"/>
  <c r="A138" i="5"/>
  <c r="J137" i="5"/>
  <c r="I137" i="5"/>
  <c r="H137" i="5"/>
  <c r="G137" i="5"/>
  <c r="F137" i="5"/>
  <c r="E137" i="5"/>
  <c r="D137" i="5"/>
  <c r="C137" i="5"/>
  <c r="B137" i="5"/>
  <c r="A137" i="5"/>
  <c r="J136" i="5"/>
  <c r="I136" i="5"/>
  <c r="H136" i="5"/>
  <c r="G136" i="5"/>
  <c r="F136" i="5"/>
  <c r="E136" i="5"/>
  <c r="D136" i="5"/>
  <c r="C136" i="5"/>
  <c r="B136" i="5"/>
  <c r="A136" i="5"/>
  <c r="J135" i="5"/>
  <c r="I135" i="5"/>
  <c r="H135" i="5"/>
  <c r="G135" i="5"/>
  <c r="F135" i="5"/>
  <c r="E135" i="5"/>
  <c r="D135" i="5"/>
  <c r="C135" i="5"/>
  <c r="B135" i="5"/>
  <c r="A135" i="5"/>
  <c r="J134" i="5"/>
  <c r="I134" i="5"/>
  <c r="H134" i="5"/>
  <c r="G134" i="5"/>
  <c r="F134" i="5"/>
  <c r="E134" i="5"/>
  <c r="D134" i="5"/>
  <c r="C134" i="5"/>
  <c r="B134" i="5"/>
  <c r="A134" i="5"/>
  <c r="J133" i="5"/>
  <c r="I133" i="5"/>
  <c r="H133" i="5"/>
  <c r="G133" i="5"/>
  <c r="F133" i="5"/>
  <c r="E133" i="5"/>
  <c r="D133" i="5"/>
  <c r="C133" i="5"/>
  <c r="B133" i="5"/>
  <c r="A133" i="5"/>
  <c r="J132" i="5"/>
  <c r="I132" i="5"/>
  <c r="H132" i="5"/>
  <c r="G132" i="5"/>
  <c r="F132" i="5"/>
  <c r="E132" i="5"/>
  <c r="D132" i="5"/>
  <c r="C132" i="5"/>
  <c r="B132" i="5"/>
  <c r="A132" i="5"/>
  <c r="J131" i="5"/>
  <c r="I131" i="5"/>
  <c r="H131" i="5"/>
  <c r="G131" i="5"/>
  <c r="F131" i="5"/>
  <c r="E131" i="5"/>
  <c r="D131" i="5"/>
  <c r="C131" i="5"/>
  <c r="B131" i="5"/>
  <c r="A131" i="5"/>
  <c r="J130" i="5"/>
  <c r="I130" i="5"/>
  <c r="H130" i="5"/>
  <c r="G130" i="5"/>
  <c r="F130" i="5"/>
  <c r="E130" i="5"/>
  <c r="D130" i="5"/>
  <c r="C130" i="5"/>
  <c r="B130" i="5"/>
  <c r="A130" i="5"/>
  <c r="J129" i="5"/>
  <c r="I129" i="5"/>
  <c r="H129" i="5"/>
  <c r="G129" i="5"/>
  <c r="F129" i="5"/>
  <c r="E129" i="5"/>
  <c r="D129" i="5"/>
  <c r="C129" i="5"/>
  <c r="B129" i="5"/>
  <c r="A129" i="5"/>
  <c r="J128" i="5"/>
  <c r="I128" i="5"/>
  <c r="H128" i="5"/>
  <c r="G128" i="5"/>
  <c r="F128" i="5"/>
  <c r="E128" i="5"/>
  <c r="D128" i="5"/>
  <c r="C128" i="5"/>
  <c r="B128" i="5"/>
  <c r="A128" i="5"/>
  <c r="J127" i="5"/>
  <c r="I127" i="5"/>
  <c r="H127" i="5"/>
  <c r="G127" i="5"/>
  <c r="F127" i="5"/>
  <c r="E127" i="5"/>
  <c r="D127" i="5"/>
  <c r="C127" i="5"/>
  <c r="B127" i="5"/>
  <c r="A127" i="5"/>
  <c r="J126" i="5"/>
  <c r="I126" i="5"/>
  <c r="H126" i="5"/>
  <c r="G126" i="5"/>
  <c r="F126" i="5"/>
  <c r="E126" i="5"/>
  <c r="D126" i="5"/>
  <c r="C126" i="5"/>
  <c r="B126" i="5"/>
  <c r="A126" i="5"/>
  <c r="J125" i="5"/>
  <c r="I125" i="5"/>
  <c r="H125" i="5"/>
  <c r="G125" i="5"/>
  <c r="F125" i="5"/>
  <c r="E125" i="5"/>
  <c r="D125" i="5"/>
  <c r="C125" i="5"/>
  <c r="B125" i="5"/>
  <c r="A125" i="5"/>
  <c r="J124" i="5"/>
  <c r="I124" i="5"/>
  <c r="H124" i="5"/>
  <c r="G124" i="5"/>
  <c r="F124" i="5"/>
  <c r="E124" i="5"/>
  <c r="D124" i="5"/>
  <c r="C124" i="5"/>
  <c r="B124" i="5"/>
  <c r="A124" i="5"/>
  <c r="J123" i="5"/>
  <c r="I123" i="5"/>
  <c r="H123" i="5"/>
  <c r="G123" i="5"/>
  <c r="F123" i="5"/>
  <c r="E123" i="5"/>
  <c r="D123" i="5"/>
  <c r="C123" i="5"/>
  <c r="B123" i="5"/>
  <c r="A123" i="5"/>
  <c r="J122" i="5"/>
  <c r="I122" i="5"/>
  <c r="H122" i="5"/>
  <c r="G122" i="5"/>
  <c r="F122" i="5"/>
  <c r="E122" i="5"/>
  <c r="D122" i="5"/>
  <c r="C122" i="5"/>
  <c r="B122" i="5"/>
  <c r="A122" i="5"/>
  <c r="J121" i="5"/>
  <c r="I121" i="5"/>
  <c r="H121" i="5"/>
  <c r="G121" i="5"/>
  <c r="F121" i="5"/>
  <c r="E121" i="5"/>
  <c r="D121" i="5"/>
  <c r="C121" i="5"/>
  <c r="B121" i="5"/>
  <c r="A121" i="5"/>
  <c r="J120" i="5"/>
  <c r="I120" i="5"/>
  <c r="H120" i="5"/>
  <c r="G120" i="5"/>
  <c r="F120" i="5"/>
  <c r="E120" i="5"/>
  <c r="D120" i="5"/>
  <c r="C120" i="5"/>
  <c r="B120" i="5"/>
  <c r="A120" i="5"/>
  <c r="J119" i="5"/>
  <c r="I119" i="5"/>
  <c r="H119" i="5"/>
  <c r="G119" i="5"/>
  <c r="F119" i="5"/>
  <c r="E119" i="5"/>
  <c r="D119" i="5"/>
  <c r="C119" i="5"/>
  <c r="B119" i="5"/>
  <c r="A119" i="5"/>
  <c r="J118" i="5"/>
  <c r="I118" i="5"/>
  <c r="H118" i="5"/>
  <c r="G118" i="5"/>
  <c r="F118" i="5"/>
  <c r="E118" i="5"/>
  <c r="D118" i="5"/>
  <c r="C118" i="5"/>
  <c r="B118" i="5"/>
  <c r="A118" i="5"/>
  <c r="J117" i="5"/>
  <c r="I117" i="5"/>
  <c r="H117" i="5"/>
  <c r="G117" i="5"/>
  <c r="F117" i="5"/>
  <c r="E117" i="5"/>
  <c r="D117" i="5"/>
  <c r="C117" i="5"/>
  <c r="B117" i="5"/>
  <c r="A117" i="5"/>
  <c r="J116" i="5"/>
  <c r="I116" i="5"/>
  <c r="H116" i="5"/>
  <c r="G116" i="5"/>
  <c r="F116" i="5"/>
  <c r="E116" i="5"/>
  <c r="D116" i="5"/>
  <c r="C116" i="5"/>
  <c r="B116" i="5"/>
  <c r="A116" i="5"/>
  <c r="J115" i="5"/>
  <c r="I115" i="5"/>
  <c r="H115" i="5"/>
  <c r="G115" i="5"/>
  <c r="F115" i="5"/>
  <c r="E115" i="5"/>
  <c r="D115" i="5"/>
  <c r="C115" i="5"/>
  <c r="B115" i="5"/>
  <c r="A115" i="5"/>
  <c r="J114" i="5"/>
  <c r="I114" i="5"/>
  <c r="H114" i="5"/>
  <c r="G114" i="5"/>
  <c r="F114" i="5"/>
  <c r="E114" i="5"/>
  <c r="D114" i="5"/>
  <c r="C114" i="5"/>
  <c r="B114" i="5"/>
  <c r="A114" i="5"/>
  <c r="J113" i="5"/>
  <c r="I113" i="5"/>
  <c r="H113" i="5"/>
  <c r="G113" i="5"/>
  <c r="F113" i="5"/>
  <c r="E113" i="5"/>
  <c r="D113" i="5"/>
  <c r="C113" i="5"/>
  <c r="B113" i="5"/>
  <c r="A113" i="5"/>
  <c r="J112" i="5"/>
  <c r="I112" i="5"/>
  <c r="H112" i="5"/>
  <c r="G112" i="5"/>
  <c r="F112" i="5"/>
  <c r="E112" i="5"/>
  <c r="D112" i="5"/>
  <c r="C112" i="5"/>
  <c r="B112" i="5"/>
  <c r="A112" i="5"/>
  <c r="J111" i="5"/>
  <c r="I111" i="5"/>
  <c r="H111" i="5"/>
  <c r="G111" i="5"/>
  <c r="F111" i="5"/>
  <c r="E111" i="5"/>
  <c r="D111" i="5"/>
  <c r="C111" i="5"/>
  <c r="B111" i="5"/>
  <c r="A111" i="5"/>
  <c r="J110" i="5"/>
  <c r="I110" i="5"/>
  <c r="H110" i="5"/>
  <c r="G110" i="5"/>
  <c r="F110" i="5"/>
  <c r="E110" i="5"/>
  <c r="D110" i="5"/>
  <c r="C110" i="5"/>
  <c r="B110" i="5"/>
  <c r="A110" i="5"/>
  <c r="J109" i="5"/>
  <c r="I109" i="5"/>
  <c r="H109" i="5"/>
  <c r="G109" i="5"/>
  <c r="F109" i="5"/>
  <c r="E109" i="5"/>
  <c r="D109" i="5"/>
  <c r="C109" i="5"/>
  <c r="B109" i="5"/>
  <c r="A109" i="5"/>
  <c r="J108" i="5"/>
  <c r="I108" i="5"/>
  <c r="H108" i="5"/>
  <c r="G108" i="5"/>
  <c r="F108" i="5"/>
  <c r="E108" i="5"/>
  <c r="D108" i="5"/>
  <c r="C108" i="5"/>
  <c r="B108" i="5"/>
  <c r="A108" i="5"/>
  <c r="J107" i="5"/>
  <c r="I107" i="5"/>
  <c r="H107" i="5"/>
  <c r="G107" i="5"/>
  <c r="F107" i="5"/>
  <c r="E107" i="5"/>
  <c r="D107" i="5"/>
  <c r="C107" i="5"/>
  <c r="B107" i="5"/>
  <c r="A107" i="5"/>
  <c r="J106" i="5"/>
  <c r="I106" i="5"/>
  <c r="H106" i="5"/>
  <c r="G106" i="5"/>
  <c r="F106" i="5"/>
  <c r="E106" i="5"/>
  <c r="D106" i="5"/>
  <c r="C106" i="5"/>
  <c r="B106" i="5"/>
  <c r="A106" i="5"/>
  <c r="J105" i="5"/>
  <c r="I105" i="5"/>
  <c r="H105" i="5"/>
  <c r="G105" i="5"/>
  <c r="F105" i="5"/>
  <c r="E105" i="5"/>
  <c r="D105" i="5"/>
  <c r="C105" i="5"/>
  <c r="B105" i="5"/>
  <c r="A105" i="5"/>
  <c r="J104" i="5"/>
  <c r="I104" i="5"/>
  <c r="H104" i="5"/>
  <c r="G104" i="5"/>
  <c r="F104" i="5"/>
  <c r="E104" i="5"/>
  <c r="D104" i="5"/>
  <c r="C104" i="5"/>
  <c r="B104" i="5"/>
  <c r="A104" i="5"/>
  <c r="J103" i="5"/>
  <c r="I103" i="5"/>
  <c r="H103" i="5"/>
  <c r="G103" i="5"/>
  <c r="F103" i="5"/>
  <c r="E103" i="5"/>
  <c r="D103" i="5"/>
  <c r="C103" i="5"/>
  <c r="B103" i="5"/>
  <c r="A103" i="5"/>
  <c r="J102" i="5"/>
  <c r="I102" i="5"/>
  <c r="H102" i="5"/>
  <c r="G102" i="5"/>
  <c r="F102" i="5"/>
  <c r="E102" i="5"/>
  <c r="D102" i="5"/>
  <c r="C102" i="5"/>
  <c r="B102" i="5"/>
  <c r="A102" i="5"/>
  <c r="J101" i="5"/>
  <c r="I101" i="5"/>
  <c r="H101" i="5"/>
  <c r="G101" i="5"/>
  <c r="F101" i="5"/>
  <c r="E101" i="5"/>
  <c r="D101" i="5"/>
  <c r="C101" i="5"/>
  <c r="B101" i="5"/>
  <c r="A101" i="5"/>
  <c r="J100" i="5"/>
  <c r="I100" i="5"/>
  <c r="H100" i="5"/>
  <c r="G100" i="5"/>
  <c r="F100" i="5"/>
  <c r="E100" i="5"/>
  <c r="D100" i="5"/>
  <c r="C100" i="5"/>
  <c r="B100" i="5"/>
  <c r="A100" i="5"/>
  <c r="J99" i="5"/>
  <c r="I99" i="5"/>
  <c r="H99" i="5"/>
  <c r="G99" i="5"/>
  <c r="F99" i="5"/>
  <c r="E99" i="5"/>
  <c r="D99" i="5"/>
  <c r="C99" i="5"/>
  <c r="B99" i="5"/>
  <c r="A99" i="5"/>
  <c r="J98" i="5"/>
  <c r="I98" i="5"/>
  <c r="H98" i="5"/>
  <c r="G98" i="5"/>
  <c r="F98" i="5"/>
  <c r="E98" i="5"/>
  <c r="D98" i="5"/>
  <c r="C98" i="5"/>
  <c r="B98" i="5"/>
  <c r="A98" i="5"/>
  <c r="J97" i="5"/>
  <c r="I97" i="5"/>
  <c r="H97" i="5"/>
  <c r="G97" i="5"/>
  <c r="F97" i="5"/>
  <c r="E97" i="5"/>
  <c r="D97" i="5"/>
  <c r="C97" i="5"/>
  <c r="B97" i="5"/>
  <c r="A97" i="5"/>
  <c r="J96" i="5"/>
  <c r="I96" i="5"/>
  <c r="H96" i="5"/>
  <c r="G96" i="5"/>
  <c r="F96" i="5"/>
  <c r="E96" i="5"/>
  <c r="D96" i="5"/>
  <c r="C96" i="5"/>
  <c r="B96" i="5"/>
  <c r="A96" i="5"/>
  <c r="J95" i="5"/>
  <c r="I95" i="5"/>
  <c r="H95" i="5"/>
  <c r="G95" i="5"/>
  <c r="F95" i="5"/>
  <c r="E95" i="5"/>
  <c r="D95" i="5"/>
  <c r="C95" i="5"/>
  <c r="B95" i="5"/>
  <c r="A95" i="5"/>
  <c r="J94" i="5"/>
  <c r="I94" i="5"/>
  <c r="H94" i="5"/>
  <c r="G94" i="5"/>
  <c r="F94" i="5"/>
  <c r="E94" i="5"/>
  <c r="D94" i="5"/>
  <c r="C94" i="5"/>
  <c r="B94" i="5"/>
  <c r="A94" i="5"/>
  <c r="J93" i="5"/>
  <c r="I93" i="5"/>
  <c r="H93" i="5"/>
  <c r="G93" i="5"/>
  <c r="F93" i="5"/>
  <c r="E93" i="5"/>
  <c r="D93" i="5"/>
  <c r="C93" i="5"/>
  <c r="B93" i="5"/>
  <c r="A93" i="5"/>
  <c r="J92" i="5"/>
  <c r="I92" i="5"/>
  <c r="H92" i="5"/>
  <c r="G92" i="5"/>
  <c r="F92" i="5"/>
  <c r="E92" i="5"/>
  <c r="D92" i="5"/>
  <c r="C92" i="5"/>
  <c r="B92" i="5"/>
  <c r="A92" i="5"/>
  <c r="J91" i="5"/>
  <c r="I91" i="5"/>
  <c r="H91" i="5"/>
  <c r="G91" i="5"/>
  <c r="F91" i="5"/>
  <c r="E91" i="5"/>
  <c r="D91" i="5"/>
  <c r="C91" i="5"/>
  <c r="B91" i="5"/>
  <c r="A91" i="5"/>
  <c r="J90" i="5"/>
  <c r="I90" i="5"/>
  <c r="H90" i="5"/>
  <c r="G90" i="5"/>
  <c r="F90" i="5"/>
  <c r="E90" i="5"/>
  <c r="D90" i="5"/>
  <c r="C90" i="5"/>
  <c r="B90" i="5"/>
  <c r="A90" i="5"/>
  <c r="J89" i="5"/>
  <c r="I89" i="5"/>
  <c r="H89" i="5"/>
  <c r="G89" i="5"/>
  <c r="F89" i="5"/>
  <c r="E89" i="5"/>
  <c r="D89" i="5"/>
  <c r="C89" i="5"/>
  <c r="B89" i="5"/>
  <c r="A89" i="5"/>
  <c r="J88" i="5"/>
  <c r="I88" i="5"/>
  <c r="H88" i="5"/>
  <c r="G88" i="5"/>
  <c r="F88" i="5"/>
  <c r="E88" i="5"/>
  <c r="D88" i="5"/>
  <c r="C88" i="5"/>
  <c r="B88" i="5"/>
  <c r="A88" i="5"/>
  <c r="J87" i="5"/>
  <c r="I87" i="5"/>
  <c r="H87" i="5"/>
  <c r="G87" i="5"/>
  <c r="F87" i="5"/>
  <c r="E87" i="5"/>
  <c r="D87" i="5"/>
  <c r="C87" i="5"/>
  <c r="B87" i="5"/>
  <c r="A87" i="5"/>
  <c r="J86" i="5"/>
  <c r="I86" i="5"/>
  <c r="H86" i="5"/>
  <c r="G86" i="5"/>
  <c r="F86" i="5"/>
  <c r="E86" i="5"/>
  <c r="D86" i="5"/>
  <c r="C86" i="5"/>
  <c r="B86" i="5"/>
  <c r="A86" i="5"/>
  <c r="J85" i="5"/>
  <c r="I85" i="5"/>
  <c r="H85" i="5"/>
  <c r="G85" i="5"/>
  <c r="F85" i="5"/>
  <c r="E85" i="5"/>
  <c r="D85" i="5"/>
  <c r="C85" i="5"/>
  <c r="B85" i="5"/>
  <c r="A85" i="5"/>
  <c r="J84" i="5"/>
  <c r="I84" i="5"/>
  <c r="H84" i="5"/>
  <c r="G84" i="5"/>
  <c r="F84" i="5"/>
  <c r="E84" i="5"/>
  <c r="D84" i="5"/>
  <c r="C84" i="5"/>
  <c r="B84" i="5"/>
  <c r="A84" i="5"/>
  <c r="J83" i="5"/>
  <c r="I83" i="5"/>
  <c r="H83" i="5"/>
  <c r="G83" i="5"/>
  <c r="F83" i="5"/>
  <c r="E83" i="5"/>
  <c r="D83" i="5"/>
  <c r="C83" i="5"/>
  <c r="B83" i="5"/>
  <c r="A83" i="5"/>
  <c r="J82" i="5"/>
  <c r="I82" i="5"/>
  <c r="H82" i="5"/>
  <c r="G82" i="5"/>
  <c r="F82" i="5"/>
  <c r="E82" i="5"/>
  <c r="D82" i="5"/>
  <c r="C82" i="5"/>
  <c r="B82" i="5"/>
  <c r="A82" i="5"/>
  <c r="J81" i="5"/>
  <c r="I81" i="5"/>
  <c r="H81" i="5"/>
  <c r="G81" i="5"/>
  <c r="F81" i="5"/>
  <c r="E81" i="5"/>
  <c r="D81" i="5"/>
  <c r="C81" i="5"/>
  <c r="B81" i="5"/>
  <c r="A81" i="5"/>
  <c r="J80" i="5"/>
  <c r="I80" i="5"/>
  <c r="H80" i="5"/>
  <c r="G80" i="5"/>
  <c r="F80" i="5"/>
  <c r="E80" i="5"/>
  <c r="D80" i="5"/>
  <c r="C80" i="5"/>
  <c r="B80" i="5"/>
  <c r="A80" i="5"/>
  <c r="J79" i="5"/>
  <c r="I79" i="5"/>
  <c r="H79" i="5"/>
  <c r="G79" i="5"/>
  <c r="F79" i="5"/>
  <c r="E79" i="5"/>
  <c r="D79" i="5"/>
  <c r="C79" i="5"/>
  <c r="B79" i="5"/>
  <c r="A79" i="5"/>
  <c r="J78" i="5"/>
  <c r="I78" i="5"/>
  <c r="H78" i="5"/>
  <c r="G78" i="5"/>
  <c r="F78" i="5"/>
  <c r="E78" i="5"/>
  <c r="D78" i="5"/>
  <c r="C78" i="5"/>
  <c r="B78" i="5"/>
  <c r="A78" i="5"/>
  <c r="J77" i="5"/>
  <c r="I77" i="5"/>
  <c r="H77" i="5"/>
  <c r="G77" i="5"/>
  <c r="F77" i="5"/>
  <c r="E77" i="5"/>
  <c r="D77" i="5"/>
  <c r="C77" i="5"/>
  <c r="B77" i="5"/>
  <c r="A77" i="5"/>
  <c r="J76" i="5"/>
  <c r="I76" i="5"/>
  <c r="H76" i="5"/>
  <c r="G76" i="5"/>
  <c r="F76" i="5"/>
  <c r="E76" i="5"/>
  <c r="D76" i="5"/>
  <c r="C76" i="5"/>
  <c r="B76" i="5"/>
  <c r="A76" i="5"/>
  <c r="J75" i="5"/>
  <c r="I75" i="5"/>
  <c r="H75" i="5"/>
  <c r="G75" i="5"/>
  <c r="F75" i="5"/>
  <c r="E75" i="5"/>
  <c r="D75" i="5"/>
  <c r="C75" i="5"/>
  <c r="B75" i="5"/>
  <c r="A75" i="5"/>
  <c r="J74" i="5"/>
  <c r="I74" i="5"/>
  <c r="H74" i="5"/>
  <c r="G74" i="5"/>
  <c r="F74" i="5"/>
  <c r="E74" i="5"/>
  <c r="D74" i="5"/>
  <c r="C74" i="5"/>
  <c r="B74" i="5"/>
  <c r="A74" i="5"/>
  <c r="J73" i="5"/>
  <c r="I73" i="5"/>
  <c r="H73" i="5"/>
  <c r="G73" i="5"/>
  <c r="F73" i="5"/>
  <c r="E73" i="5"/>
  <c r="D73" i="5"/>
  <c r="C73" i="5"/>
  <c r="B73" i="5"/>
  <c r="A73" i="5"/>
  <c r="J72" i="5"/>
  <c r="I72" i="5"/>
  <c r="H72" i="5"/>
  <c r="G72" i="5"/>
  <c r="F72" i="5"/>
  <c r="E72" i="5"/>
  <c r="D72" i="5"/>
  <c r="C72" i="5"/>
  <c r="B72" i="5"/>
  <c r="A72" i="5"/>
  <c r="J71" i="5"/>
  <c r="I71" i="5"/>
  <c r="H71" i="5"/>
  <c r="G71" i="5"/>
  <c r="F71" i="5"/>
  <c r="E71" i="5"/>
  <c r="D71" i="5"/>
  <c r="C71" i="5"/>
  <c r="B71" i="5"/>
  <c r="A71" i="5"/>
  <c r="J70" i="5"/>
  <c r="I70" i="5"/>
  <c r="H70" i="5"/>
  <c r="G70" i="5"/>
  <c r="F70" i="5"/>
  <c r="E70" i="5"/>
  <c r="D70" i="5"/>
  <c r="C70" i="5"/>
  <c r="B70" i="5"/>
  <c r="A70" i="5"/>
  <c r="J69" i="5"/>
  <c r="I69" i="5"/>
  <c r="H69" i="5"/>
  <c r="G69" i="5"/>
  <c r="F69" i="5"/>
  <c r="E69" i="5"/>
  <c r="D69" i="5"/>
  <c r="C69" i="5"/>
  <c r="B69" i="5"/>
  <c r="A69" i="5"/>
  <c r="J68" i="5"/>
  <c r="I68" i="5"/>
  <c r="H68" i="5"/>
  <c r="G68" i="5"/>
  <c r="F68" i="5"/>
  <c r="E68" i="5"/>
  <c r="D68" i="5"/>
  <c r="C68" i="5"/>
  <c r="B68" i="5"/>
  <c r="A68" i="5"/>
  <c r="J67" i="5"/>
  <c r="I67" i="5"/>
  <c r="H67" i="5"/>
  <c r="G67" i="5"/>
  <c r="F67" i="5"/>
  <c r="E67" i="5"/>
  <c r="D67" i="5"/>
  <c r="C67" i="5"/>
  <c r="B67" i="5"/>
  <c r="A67" i="5"/>
  <c r="J66" i="5"/>
  <c r="I66" i="5"/>
  <c r="H66" i="5"/>
  <c r="G66" i="5"/>
  <c r="F66" i="5"/>
  <c r="E66" i="5"/>
  <c r="D66" i="5"/>
  <c r="C66" i="5"/>
  <c r="B66" i="5"/>
  <c r="A66" i="5"/>
  <c r="J65" i="5"/>
  <c r="I65" i="5"/>
  <c r="H65" i="5"/>
  <c r="G65" i="5"/>
  <c r="F65" i="5"/>
  <c r="E65" i="5"/>
  <c r="D65" i="5"/>
  <c r="C65" i="5"/>
  <c r="B65" i="5"/>
  <c r="A65" i="5"/>
  <c r="J64" i="5"/>
  <c r="I64" i="5"/>
  <c r="H64" i="5"/>
  <c r="G64" i="5"/>
  <c r="F64" i="5"/>
  <c r="E64" i="5"/>
  <c r="D64" i="5"/>
  <c r="C64" i="5"/>
  <c r="B64" i="5"/>
  <c r="A64" i="5"/>
  <c r="J63" i="5"/>
  <c r="I63" i="5"/>
  <c r="H63" i="5"/>
  <c r="G63" i="5"/>
  <c r="F63" i="5"/>
  <c r="E63" i="5"/>
  <c r="D63" i="5"/>
  <c r="C63" i="5"/>
  <c r="B63" i="5"/>
  <c r="A63" i="5"/>
  <c r="J62" i="5"/>
  <c r="I62" i="5"/>
  <c r="H62" i="5"/>
  <c r="G62" i="5"/>
  <c r="F62" i="5"/>
  <c r="E62" i="5"/>
  <c r="D62" i="5"/>
  <c r="C62" i="5"/>
  <c r="B62" i="5"/>
  <c r="A62" i="5"/>
  <c r="J61" i="5"/>
  <c r="I61" i="5"/>
  <c r="H61" i="5"/>
  <c r="G61" i="5"/>
  <c r="F61" i="5"/>
  <c r="E61" i="5"/>
  <c r="D61" i="5"/>
  <c r="C61" i="5"/>
  <c r="B61" i="5"/>
  <c r="A61" i="5"/>
  <c r="J60" i="5"/>
  <c r="I60" i="5"/>
  <c r="H60" i="5"/>
  <c r="G60" i="5"/>
  <c r="F60" i="5"/>
  <c r="E60" i="5"/>
  <c r="D60" i="5"/>
  <c r="C60" i="5"/>
  <c r="B60" i="5"/>
  <c r="A60" i="5"/>
  <c r="J59" i="5"/>
  <c r="I59" i="5"/>
  <c r="H59" i="5"/>
  <c r="G59" i="5"/>
  <c r="F59" i="5"/>
  <c r="E59" i="5"/>
  <c r="D59" i="5"/>
  <c r="C59" i="5"/>
  <c r="B59" i="5"/>
  <c r="A59" i="5"/>
  <c r="J58" i="5"/>
  <c r="I58" i="5"/>
  <c r="H58" i="5"/>
  <c r="G58" i="5"/>
  <c r="F58" i="5"/>
  <c r="E58" i="5"/>
  <c r="D58" i="5"/>
  <c r="C58" i="5"/>
  <c r="B58" i="5"/>
  <c r="A58" i="5"/>
  <c r="J57" i="5"/>
  <c r="I57" i="5"/>
  <c r="H57" i="5"/>
  <c r="G57" i="5"/>
  <c r="F57" i="5"/>
  <c r="E57" i="5"/>
  <c r="D57" i="5"/>
  <c r="C57" i="5"/>
  <c r="B57" i="5"/>
  <c r="A57" i="5"/>
  <c r="J56" i="5"/>
  <c r="I56" i="5"/>
  <c r="H56" i="5"/>
  <c r="G56" i="5"/>
  <c r="F56" i="5"/>
  <c r="E56" i="5"/>
  <c r="D56" i="5"/>
  <c r="C56" i="5"/>
  <c r="B56" i="5"/>
  <c r="A56" i="5"/>
  <c r="J55" i="5"/>
  <c r="I55" i="5"/>
  <c r="H55" i="5"/>
  <c r="G55" i="5"/>
  <c r="F55" i="5"/>
  <c r="E55" i="5"/>
  <c r="D55" i="5"/>
  <c r="C55" i="5"/>
  <c r="B55" i="5"/>
  <c r="A55" i="5"/>
  <c r="J54" i="5"/>
  <c r="I54" i="5"/>
  <c r="H54" i="5"/>
  <c r="G54" i="5"/>
  <c r="F54" i="5"/>
  <c r="E54" i="5"/>
  <c r="D54" i="5"/>
  <c r="C54" i="5"/>
  <c r="B54" i="5"/>
  <c r="A54" i="5"/>
  <c r="J53" i="5"/>
  <c r="I53" i="5"/>
  <c r="H53" i="5"/>
  <c r="G53" i="5"/>
  <c r="F53" i="5"/>
  <c r="E53" i="5"/>
  <c r="D53" i="5"/>
  <c r="C53" i="5"/>
  <c r="B53" i="5"/>
  <c r="A53" i="5"/>
  <c r="J52" i="5"/>
  <c r="I52" i="5"/>
  <c r="H52" i="5"/>
  <c r="G52" i="5"/>
  <c r="F52" i="5"/>
  <c r="E52" i="5"/>
  <c r="D52" i="5"/>
  <c r="C52" i="5"/>
  <c r="B52" i="5"/>
  <c r="A52" i="5"/>
  <c r="J51" i="5"/>
  <c r="I51" i="5"/>
  <c r="H51" i="5"/>
  <c r="G51" i="5"/>
  <c r="F51" i="5"/>
  <c r="E51" i="5"/>
  <c r="D51" i="5"/>
  <c r="C51" i="5"/>
  <c r="B51" i="5"/>
  <c r="A51" i="5"/>
  <c r="J50" i="5"/>
  <c r="I50" i="5"/>
  <c r="H50" i="5"/>
  <c r="G50" i="5"/>
  <c r="F50" i="5"/>
  <c r="E50" i="5"/>
  <c r="D50" i="5"/>
  <c r="C50" i="5"/>
  <c r="B50" i="5"/>
  <c r="A50" i="5"/>
  <c r="J49" i="5"/>
  <c r="I49" i="5"/>
  <c r="H49" i="5"/>
  <c r="G49" i="5"/>
  <c r="F49" i="5"/>
  <c r="E49" i="5"/>
  <c r="D49" i="5"/>
  <c r="C49" i="5"/>
  <c r="B49" i="5"/>
  <c r="A49" i="5"/>
  <c r="J48" i="5"/>
  <c r="I48" i="5"/>
  <c r="H48" i="5"/>
  <c r="G48" i="5"/>
  <c r="F48" i="5"/>
  <c r="E48" i="5"/>
  <c r="D48" i="5"/>
  <c r="C48" i="5"/>
  <c r="B48" i="5"/>
  <c r="A48" i="5"/>
  <c r="J47" i="5"/>
  <c r="I47" i="5"/>
  <c r="H47" i="5"/>
  <c r="G47" i="5"/>
  <c r="F47" i="5"/>
  <c r="E47" i="5"/>
  <c r="D47" i="5"/>
  <c r="C47" i="5"/>
  <c r="B47" i="5"/>
  <c r="A47" i="5"/>
  <c r="J46" i="5"/>
  <c r="I46" i="5"/>
  <c r="H46" i="5"/>
  <c r="G46" i="5"/>
  <c r="F46" i="5"/>
  <c r="E46" i="5"/>
  <c r="D46" i="5"/>
  <c r="C46" i="5"/>
  <c r="B46" i="5"/>
  <c r="A46" i="5"/>
  <c r="J45" i="5"/>
  <c r="I45" i="5"/>
  <c r="H45" i="5"/>
  <c r="G45" i="5"/>
  <c r="F45" i="5"/>
  <c r="E45" i="5"/>
  <c r="D45" i="5"/>
  <c r="C45" i="5"/>
  <c r="B45" i="5"/>
  <c r="A45" i="5"/>
  <c r="J44" i="5"/>
  <c r="I44" i="5"/>
  <c r="H44" i="5"/>
  <c r="G44" i="5"/>
  <c r="F44" i="5"/>
  <c r="E44" i="5"/>
  <c r="D44" i="5"/>
  <c r="C44" i="5"/>
  <c r="B44" i="5"/>
  <c r="A44" i="5"/>
  <c r="J43" i="5"/>
  <c r="I43" i="5"/>
  <c r="H43" i="5"/>
  <c r="G43" i="5"/>
  <c r="F43" i="5"/>
  <c r="E43" i="5"/>
  <c r="D43" i="5"/>
  <c r="C43" i="5"/>
  <c r="B43" i="5"/>
  <c r="A43" i="5"/>
  <c r="J42" i="5"/>
  <c r="I42" i="5"/>
  <c r="H42" i="5"/>
  <c r="G42" i="5"/>
  <c r="F42" i="5"/>
  <c r="E42" i="5"/>
  <c r="D42" i="5"/>
  <c r="C42" i="5"/>
  <c r="B42" i="5"/>
  <c r="A42" i="5"/>
  <c r="J41" i="5"/>
  <c r="I41" i="5"/>
  <c r="H41" i="5"/>
  <c r="G41" i="5"/>
  <c r="F41" i="5"/>
  <c r="E41" i="5"/>
  <c r="D41" i="5"/>
  <c r="C41" i="5"/>
  <c r="B41" i="5"/>
  <c r="A41" i="5"/>
  <c r="J40" i="5"/>
  <c r="I40" i="5"/>
  <c r="H40" i="5"/>
  <c r="G40" i="5"/>
  <c r="F40" i="5"/>
  <c r="E40" i="5"/>
  <c r="D40" i="5"/>
  <c r="C40" i="5"/>
  <c r="B40" i="5"/>
  <c r="A40" i="5"/>
  <c r="J39" i="5"/>
  <c r="I39" i="5"/>
  <c r="H39" i="5"/>
  <c r="G39" i="5"/>
  <c r="F39" i="5"/>
  <c r="E39" i="5"/>
  <c r="D39" i="5"/>
  <c r="C39" i="5"/>
  <c r="B39" i="5"/>
  <c r="A39" i="5"/>
  <c r="J38" i="5"/>
  <c r="I38" i="5"/>
  <c r="H38" i="5"/>
  <c r="G38" i="5"/>
  <c r="F38" i="5"/>
  <c r="E38" i="5"/>
  <c r="D38" i="5"/>
  <c r="C38" i="5"/>
  <c r="B38" i="5"/>
  <c r="A38" i="5"/>
  <c r="J37" i="5"/>
  <c r="I37" i="5"/>
  <c r="H37" i="5"/>
  <c r="G37" i="5"/>
  <c r="F37" i="5"/>
  <c r="E37" i="5"/>
  <c r="D37" i="5"/>
  <c r="C37" i="5"/>
  <c r="B37" i="5"/>
  <c r="A37" i="5"/>
  <c r="J36" i="5"/>
  <c r="I36" i="5"/>
  <c r="H36" i="5"/>
  <c r="G36" i="5"/>
  <c r="F36" i="5"/>
  <c r="E36" i="5"/>
  <c r="D36" i="5"/>
  <c r="C36" i="5"/>
  <c r="B36" i="5"/>
  <c r="A36" i="5"/>
  <c r="J35" i="5"/>
  <c r="I35" i="5"/>
  <c r="H35" i="5"/>
  <c r="G35" i="5"/>
  <c r="F35" i="5"/>
  <c r="E35" i="5"/>
  <c r="D35" i="5"/>
  <c r="C35" i="5"/>
  <c r="B35" i="5"/>
  <c r="A35" i="5"/>
  <c r="J34" i="5"/>
  <c r="I34" i="5"/>
  <c r="H34" i="5"/>
  <c r="G34" i="5"/>
  <c r="F34" i="5"/>
  <c r="E34" i="5"/>
  <c r="D34" i="5"/>
  <c r="C34" i="5"/>
  <c r="B34" i="5"/>
  <c r="A34" i="5"/>
  <c r="J33" i="5"/>
  <c r="I33" i="5"/>
  <c r="H33" i="5"/>
  <c r="G33" i="5"/>
  <c r="F33" i="5"/>
  <c r="E33" i="5"/>
  <c r="D33" i="5"/>
  <c r="C33" i="5"/>
  <c r="B33" i="5"/>
  <c r="A33" i="5"/>
  <c r="J32" i="5"/>
  <c r="I32" i="5"/>
  <c r="H32" i="5"/>
  <c r="G32" i="5"/>
  <c r="F32" i="5"/>
  <c r="E32" i="5"/>
  <c r="D32" i="5"/>
  <c r="C32" i="5"/>
  <c r="B32" i="5"/>
  <c r="A32" i="5"/>
  <c r="J31" i="5"/>
  <c r="I31" i="5"/>
  <c r="H31" i="5"/>
  <c r="G31" i="5"/>
  <c r="F31" i="5"/>
  <c r="E31" i="5"/>
  <c r="D31" i="5"/>
  <c r="C31" i="5"/>
  <c r="B31" i="5"/>
  <c r="A31" i="5"/>
  <c r="J30" i="5"/>
  <c r="I30" i="5"/>
  <c r="H30" i="5"/>
  <c r="G30" i="5"/>
  <c r="F30" i="5"/>
  <c r="E30" i="5"/>
  <c r="D30" i="5"/>
  <c r="C30" i="5"/>
  <c r="B30" i="5"/>
  <c r="A30" i="5"/>
  <c r="J29" i="5"/>
  <c r="I29" i="5"/>
  <c r="H29" i="5"/>
  <c r="G29" i="5"/>
  <c r="F29" i="5"/>
  <c r="E29" i="5"/>
  <c r="D29" i="5"/>
  <c r="C29" i="5"/>
  <c r="B29" i="5"/>
  <c r="A29" i="5"/>
  <c r="J28" i="5"/>
  <c r="I28" i="5"/>
  <c r="H28" i="5"/>
  <c r="G28" i="5"/>
  <c r="F28" i="5"/>
  <c r="E28" i="5"/>
  <c r="D28" i="5"/>
  <c r="C28" i="5"/>
  <c r="B28" i="5"/>
  <c r="A28" i="5"/>
  <c r="J27" i="5"/>
  <c r="I27" i="5"/>
  <c r="H27" i="5"/>
  <c r="G27" i="5"/>
  <c r="F27" i="5"/>
  <c r="E27" i="5"/>
  <c r="D27" i="5"/>
  <c r="C27" i="5"/>
  <c r="B27" i="5"/>
  <c r="A27" i="5"/>
  <c r="J26" i="5"/>
  <c r="I26" i="5"/>
  <c r="H26" i="5"/>
  <c r="G26" i="5"/>
  <c r="F26" i="5"/>
  <c r="E26" i="5"/>
  <c r="D26" i="5"/>
  <c r="C26" i="5"/>
  <c r="B26" i="5"/>
  <c r="A26" i="5"/>
  <c r="J25" i="5"/>
  <c r="I25" i="5"/>
  <c r="H25" i="5"/>
  <c r="G25" i="5"/>
  <c r="F25" i="5"/>
  <c r="E25" i="5"/>
  <c r="D25" i="5"/>
  <c r="C25" i="5"/>
  <c r="B25" i="5"/>
  <c r="A25" i="5"/>
  <c r="J24" i="5"/>
  <c r="I24" i="5"/>
  <c r="H24" i="5"/>
  <c r="G24" i="5"/>
  <c r="F24" i="5"/>
  <c r="E24" i="5"/>
  <c r="D24" i="5"/>
  <c r="C24" i="5"/>
  <c r="B24" i="5"/>
  <c r="A24" i="5"/>
  <c r="J23" i="5"/>
  <c r="I23" i="5"/>
  <c r="H23" i="5"/>
  <c r="G23" i="5"/>
  <c r="F23" i="5"/>
  <c r="E23" i="5"/>
  <c r="D23" i="5"/>
  <c r="C23" i="5"/>
  <c r="B23" i="5"/>
  <c r="A23" i="5"/>
  <c r="J22" i="5"/>
  <c r="I22" i="5"/>
  <c r="H22" i="5"/>
  <c r="G22" i="5"/>
  <c r="F22" i="5"/>
  <c r="E22" i="5"/>
  <c r="D22" i="5"/>
  <c r="C22" i="5"/>
  <c r="B22" i="5"/>
  <c r="A22" i="5"/>
  <c r="J21" i="5"/>
  <c r="I21" i="5"/>
  <c r="H21" i="5"/>
  <c r="G21" i="5"/>
  <c r="F21" i="5"/>
  <c r="E21" i="5"/>
  <c r="D21" i="5"/>
  <c r="C21" i="5"/>
  <c r="B21" i="5"/>
  <c r="A21" i="5"/>
  <c r="J20" i="5"/>
  <c r="I20" i="5"/>
  <c r="H20" i="5"/>
  <c r="G20" i="5"/>
  <c r="F20" i="5"/>
  <c r="E20" i="5"/>
  <c r="D20" i="5"/>
  <c r="C20" i="5"/>
  <c r="B20" i="5"/>
  <c r="A20" i="5"/>
  <c r="J19" i="5"/>
  <c r="I19" i="5"/>
  <c r="H19" i="5"/>
  <c r="G19" i="5"/>
  <c r="F19" i="5"/>
  <c r="E19" i="5"/>
  <c r="D19" i="5"/>
  <c r="C19" i="5"/>
  <c r="B19" i="5"/>
  <c r="A19" i="5"/>
  <c r="J18" i="5"/>
  <c r="I18" i="5"/>
  <c r="H18" i="5"/>
  <c r="G18" i="5"/>
  <c r="F18" i="5"/>
  <c r="E18" i="5"/>
  <c r="D18" i="5"/>
  <c r="C18" i="5"/>
  <c r="B18" i="5"/>
  <c r="A18" i="5"/>
  <c r="J17" i="5"/>
  <c r="I17" i="5"/>
  <c r="H17" i="5"/>
  <c r="G17" i="5"/>
  <c r="F17" i="5"/>
  <c r="E17" i="5"/>
  <c r="D17" i="5"/>
  <c r="C17" i="5"/>
  <c r="B17" i="5"/>
  <c r="A17" i="5"/>
  <c r="J16" i="5"/>
  <c r="I16" i="5"/>
  <c r="H16" i="5"/>
  <c r="G16" i="5"/>
  <c r="F16" i="5"/>
  <c r="E16" i="5"/>
  <c r="D16" i="5"/>
  <c r="C16" i="5"/>
  <c r="B16" i="5"/>
  <c r="A16" i="5"/>
  <c r="J15" i="5"/>
  <c r="I15" i="5"/>
  <c r="H15" i="5"/>
  <c r="G15" i="5"/>
  <c r="F15" i="5"/>
  <c r="E15" i="5"/>
  <c r="D15" i="5"/>
  <c r="C15" i="5"/>
  <c r="B15" i="5"/>
  <c r="A15" i="5"/>
  <c r="J14" i="5"/>
  <c r="I14" i="5"/>
  <c r="H14" i="5"/>
  <c r="G14" i="5"/>
  <c r="F14" i="5"/>
  <c r="E14" i="5"/>
  <c r="D14" i="5"/>
  <c r="C14" i="5"/>
  <c r="B14" i="5"/>
  <c r="A14" i="5"/>
  <c r="J13" i="5"/>
  <c r="I13" i="5"/>
  <c r="H13" i="5"/>
  <c r="G13" i="5"/>
  <c r="F13" i="5"/>
  <c r="E13" i="5"/>
  <c r="D13" i="5"/>
  <c r="C13" i="5"/>
  <c r="B13" i="5"/>
  <c r="A13" i="5"/>
  <c r="J12" i="5"/>
  <c r="I12" i="5"/>
  <c r="H12" i="5"/>
  <c r="G12" i="5"/>
  <c r="F12" i="5"/>
  <c r="E12" i="5"/>
  <c r="D12" i="5"/>
  <c r="C12" i="5"/>
  <c r="B12" i="5"/>
  <c r="A12" i="5"/>
  <c r="J11" i="5"/>
  <c r="I11" i="5"/>
  <c r="H11" i="5"/>
  <c r="G11" i="5"/>
  <c r="F11" i="5"/>
  <c r="E11" i="5"/>
  <c r="D11" i="5"/>
  <c r="C11" i="5"/>
  <c r="B11" i="5"/>
  <c r="A11" i="5"/>
  <c r="J10" i="5"/>
  <c r="I10" i="5"/>
  <c r="H10" i="5"/>
  <c r="G10" i="5"/>
  <c r="F10" i="5"/>
  <c r="E10" i="5"/>
  <c r="D10" i="5"/>
  <c r="C10" i="5"/>
  <c r="B10" i="5"/>
  <c r="A10" i="5"/>
  <c r="J9" i="5"/>
  <c r="I9" i="5"/>
  <c r="H9" i="5"/>
  <c r="G9" i="5"/>
  <c r="F9" i="5"/>
  <c r="E9" i="5"/>
  <c r="D9" i="5"/>
  <c r="C9" i="5"/>
  <c r="B9" i="5"/>
  <c r="A9" i="5"/>
  <c r="J8" i="5"/>
  <c r="I8" i="5"/>
  <c r="H8" i="5"/>
  <c r="G8" i="5"/>
  <c r="F8" i="5"/>
  <c r="E8" i="5"/>
  <c r="D8" i="5"/>
  <c r="C8" i="5"/>
  <c r="B8" i="5"/>
  <c r="A8" i="5"/>
  <c r="J7" i="5"/>
  <c r="I7" i="5"/>
  <c r="H7" i="5"/>
  <c r="G7" i="5"/>
  <c r="F7" i="5"/>
  <c r="E7" i="5"/>
  <c r="D7" i="5"/>
  <c r="C7" i="5"/>
  <c r="J6" i="5"/>
  <c r="I6" i="5"/>
  <c r="H6" i="5"/>
  <c r="G6" i="5"/>
  <c r="F6" i="5"/>
  <c r="E6" i="5"/>
  <c r="D6" i="5"/>
  <c r="C6" i="5"/>
  <c r="J5" i="5"/>
  <c r="I5" i="5"/>
  <c r="H5" i="5"/>
  <c r="G5" i="5"/>
  <c r="F5" i="5"/>
  <c r="E5" i="5"/>
  <c r="D5" i="5"/>
  <c r="C5" i="5"/>
  <c r="P17" i="4"/>
  <c r="O17" i="4"/>
  <c r="N17" i="4"/>
  <c r="M17" i="4"/>
  <c r="L17" i="4"/>
  <c r="K17" i="4"/>
  <c r="J17" i="4"/>
  <c r="I17" i="4"/>
  <c r="H17" i="4"/>
  <c r="G17" i="4"/>
  <c r="F17" i="4"/>
  <c r="E17" i="4"/>
  <c r="D17" i="4"/>
  <c r="C17" i="4"/>
  <c r="B17" i="4"/>
  <c r="Q17" i="4" s="1"/>
  <c r="P16" i="4"/>
  <c r="O16" i="4"/>
  <c r="N16" i="4"/>
  <c r="M16" i="4"/>
  <c r="L16" i="4"/>
  <c r="K16" i="4"/>
  <c r="J16" i="4"/>
  <c r="I16" i="4"/>
  <c r="H16" i="4"/>
  <c r="G16" i="4"/>
  <c r="F16" i="4"/>
  <c r="Q16" i="4" s="1"/>
  <c r="E16" i="4"/>
  <c r="D16" i="4"/>
  <c r="C16" i="4"/>
  <c r="B16" i="4"/>
  <c r="P15" i="4"/>
  <c r="O15" i="4"/>
  <c r="N15" i="4"/>
  <c r="M15" i="4"/>
  <c r="L15" i="4"/>
  <c r="K15" i="4"/>
  <c r="J15" i="4"/>
  <c r="I15" i="4"/>
  <c r="H15" i="4"/>
  <c r="G15" i="4"/>
  <c r="F15" i="4"/>
  <c r="Q15" i="4" s="1"/>
  <c r="E15" i="4"/>
  <c r="D15" i="4"/>
  <c r="C15" i="4"/>
  <c r="B15" i="4"/>
  <c r="P14" i="4"/>
  <c r="O14" i="4"/>
  <c r="N14" i="4"/>
  <c r="M14" i="4"/>
  <c r="L14" i="4"/>
  <c r="K14" i="4"/>
  <c r="J14" i="4"/>
  <c r="I14" i="4"/>
  <c r="H14" i="4"/>
  <c r="G14" i="4"/>
  <c r="F14" i="4"/>
  <c r="Q14" i="4" s="1"/>
  <c r="E14" i="4"/>
  <c r="D14" i="4"/>
  <c r="C14" i="4"/>
  <c r="B14" i="4"/>
  <c r="P13" i="4"/>
  <c r="O13" i="4"/>
  <c r="N13" i="4"/>
  <c r="M13" i="4"/>
  <c r="L13" i="4"/>
  <c r="K13" i="4"/>
  <c r="J13" i="4"/>
  <c r="I13" i="4"/>
  <c r="H13" i="4"/>
  <c r="G13" i="4"/>
  <c r="F13" i="4"/>
  <c r="Q13" i="4" s="1"/>
  <c r="E13" i="4"/>
  <c r="D13" i="4"/>
  <c r="C13" i="4"/>
  <c r="B13" i="4"/>
  <c r="P12" i="4"/>
  <c r="O12" i="4"/>
  <c r="N12" i="4"/>
  <c r="M12" i="4"/>
  <c r="L12" i="4"/>
  <c r="K12" i="4"/>
  <c r="J12" i="4"/>
  <c r="I12" i="4"/>
  <c r="H12" i="4"/>
  <c r="G12" i="4"/>
  <c r="F12" i="4"/>
  <c r="Q12" i="4" s="1"/>
  <c r="E12" i="4"/>
  <c r="D12" i="4"/>
  <c r="C12" i="4"/>
  <c r="B12" i="4"/>
  <c r="P11" i="4"/>
  <c r="O11" i="4"/>
  <c r="N11" i="4"/>
  <c r="M11" i="4"/>
  <c r="L11" i="4"/>
  <c r="K11" i="4"/>
  <c r="J11" i="4"/>
  <c r="I11" i="4"/>
  <c r="H11" i="4"/>
  <c r="G11" i="4"/>
  <c r="F11" i="4"/>
  <c r="Q11" i="4" s="1"/>
  <c r="E11" i="4"/>
  <c r="D11" i="4"/>
  <c r="C11" i="4"/>
  <c r="B11" i="4"/>
  <c r="P10" i="4"/>
  <c r="O10" i="4"/>
  <c r="N10" i="4"/>
  <c r="M10" i="4"/>
  <c r="L10" i="4"/>
  <c r="K10" i="4"/>
  <c r="J10" i="4"/>
  <c r="I10" i="4"/>
  <c r="H10" i="4"/>
  <c r="G10" i="4"/>
  <c r="F10" i="4"/>
  <c r="Q10" i="4" s="1"/>
  <c r="E10" i="4"/>
  <c r="D10" i="4"/>
  <c r="C10" i="4"/>
  <c r="B10" i="4"/>
  <c r="P9" i="4"/>
  <c r="O9" i="4"/>
  <c r="N9" i="4"/>
  <c r="M9" i="4"/>
  <c r="L9" i="4"/>
  <c r="K9" i="4"/>
  <c r="J9" i="4"/>
  <c r="I9" i="4"/>
  <c r="H9" i="4"/>
  <c r="G9" i="4"/>
  <c r="F9" i="4"/>
  <c r="Q9" i="4" s="1"/>
  <c r="E9" i="4"/>
  <c r="D9" i="4"/>
  <c r="C9" i="4"/>
  <c r="B9" i="4"/>
  <c r="P8" i="4"/>
  <c r="O8" i="4"/>
  <c r="N8" i="4"/>
  <c r="M8" i="4"/>
  <c r="L8" i="4"/>
  <c r="K8" i="4"/>
  <c r="J8" i="4"/>
  <c r="I8" i="4"/>
  <c r="H8" i="4"/>
  <c r="G8" i="4"/>
  <c r="F8" i="4"/>
  <c r="Q8" i="4" s="1"/>
  <c r="E8" i="4"/>
  <c r="D8" i="4"/>
  <c r="C8" i="4"/>
  <c r="B8" i="4"/>
  <c r="P7" i="4"/>
  <c r="O7" i="4"/>
  <c r="N7" i="4"/>
  <c r="M7" i="4"/>
  <c r="L7" i="4"/>
  <c r="K7" i="4"/>
  <c r="J7" i="4"/>
  <c r="I7" i="4"/>
  <c r="H7" i="4"/>
  <c r="G7" i="4"/>
  <c r="F7" i="4"/>
  <c r="Q7" i="4" s="1"/>
  <c r="E7" i="4"/>
  <c r="D7" i="4"/>
  <c r="C7" i="4"/>
  <c r="B7" i="4"/>
  <c r="P6" i="4"/>
  <c r="O6" i="4"/>
  <c r="N6" i="4"/>
  <c r="M6" i="4"/>
  <c r="L6" i="4"/>
  <c r="K6" i="4"/>
  <c r="J6" i="4"/>
  <c r="I6" i="4"/>
  <c r="H6" i="4"/>
  <c r="G6" i="4"/>
  <c r="F6" i="4"/>
  <c r="Q6" i="4" s="1"/>
  <c r="E6" i="4"/>
  <c r="D6" i="4"/>
  <c r="C6" i="4"/>
  <c r="B6" i="4"/>
  <c r="P5" i="4"/>
  <c r="P18" i="4" s="1"/>
  <c r="O5" i="4"/>
  <c r="O18" i="4" s="1"/>
  <c r="N5" i="4"/>
  <c r="N18" i="4" s="1"/>
  <c r="M5" i="4"/>
  <c r="M18" i="4" s="1"/>
  <c r="L5" i="4"/>
  <c r="L18" i="4" s="1"/>
  <c r="K5" i="4"/>
  <c r="K18" i="4" s="1"/>
  <c r="J5" i="4"/>
  <c r="J18" i="4" s="1"/>
  <c r="I5" i="4"/>
  <c r="I18" i="4" s="1"/>
  <c r="H5" i="4"/>
  <c r="H18" i="4" s="1"/>
  <c r="G5" i="4"/>
  <c r="G18" i="4" s="1"/>
  <c r="F5" i="4"/>
  <c r="Q5" i="4" s="1"/>
  <c r="E5" i="4"/>
  <c r="E18" i="4" s="1"/>
  <c r="D5" i="4"/>
  <c r="D18" i="4" s="1"/>
  <c r="C5" i="4"/>
  <c r="C18" i="4" s="1"/>
  <c r="B5" i="4"/>
  <c r="B18" i="4" s="1"/>
  <c r="D50" i="3"/>
  <c r="C50" i="3"/>
  <c r="B50" i="3"/>
  <c r="D49" i="3"/>
  <c r="C49" i="3"/>
  <c r="B49" i="3"/>
  <c r="D48" i="3"/>
  <c r="C48" i="3"/>
  <c r="B48" i="3"/>
  <c r="D47" i="3"/>
  <c r="C47" i="3"/>
  <c r="B47" i="3"/>
  <c r="J46" i="3"/>
  <c r="I46" i="3"/>
  <c r="D46" i="3"/>
  <c r="C46" i="3"/>
  <c r="B46" i="3"/>
  <c r="J45" i="3"/>
  <c r="I45" i="3"/>
  <c r="D45" i="3"/>
  <c r="C45" i="3"/>
  <c r="B45" i="3"/>
  <c r="J44" i="3"/>
  <c r="I44" i="3"/>
  <c r="D44" i="3"/>
  <c r="C44" i="3"/>
  <c r="B44" i="3"/>
  <c r="J43" i="3"/>
  <c r="I43" i="3"/>
  <c r="D43" i="3"/>
  <c r="C43" i="3"/>
  <c r="B43" i="3"/>
  <c r="J42" i="3"/>
  <c r="I42" i="3"/>
  <c r="D42" i="3"/>
  <c r="C42" i="3"/>
  <c r="B42" i="3"/>
  <c r="J41" i="3"/>
  <c r="I41" i="3"/>
  <c r="D41" i="3"/>
  <c r="C41" i="3"/>
  <c r="B41" i="3"/>
  <c r="J40" i="3"/>
  <c r="I40" i="3"/>
  <c r="D40" i="3"/>
  <c r="C40" i="3"/>
  <c r="B40" i="3"/>
  <c r="J39" i="3"/>
  <c r="I39" i="3"/>
  <c r="D39" i="3"/>
  <c r="C39" i="3"/>
  <c r="B39" i="3"/>
  <c r="J38" i="3"/>
  <c r="I38" i="3"/>
  <c r="D38" i="3"/>
  <c r="C38" i="3"/>
  <c r="B38" i="3"/>
  <c r="J37" i="3"/>
  <c r="I37" i="3"/>
  <c r="D37" i="3"/>
  <c r="C37" i="3"/>
  <c r="B37" i="3"/>
  <c r="J36" i="3"/>
  <c r="I36" i="3"/>
  <c r="D36" i="3"/>
  <c r="C36" i="3"/>
  <c r="B36" i="3"/>
  <c r="H30" i="3"/>
  <c r="G30" i="3"/>
  <c r="F30" i="3"/>
  <c r="E30" i="3"/>
  <c r="D30" i="3"/>
  <c r="C30" i="3"/>
  <c r="B30" i="3"/>
  <c r="H29" i="3"/>
  <c r="G29" i="3"/>
  <c r="E29" i="3"/>
  <c r="D29" i="3"/>
  <c r="C29" i="3"/>
  <c r="F29" i="3" s="1"/>
  <c r="B29" i="3"/>
  <c r="H28" i="3"/>
  <c r="G28" i="3"/>
  <c r="E28" i="3"/>
  <c r="D28" i="3"/>
  <c r="C28" i="3"/>
  <c r="F28" i="3" s="1"/>
  <c r="B28" i="3"/>
  <c r="H27" i="3"/>
  <c r="G27" i="3"/>
  <c r="E27" i="3"/>
  <c r="D27" i="3"/>
  <c r="C27" i="3"/>
  <c r="F27" i="3" s="1"/>
  <c r="B27" i="3"/>
  <c r="H26" i="3"/>
  <c r="G26" i="3"/>
  <c r="E26" i="3"/>
  <c r="D26" i="3"/>
  <c r="F26" i="3" s="1"/>
  <c r="C26" i="3"/>
  <c r="B26" i="3"/>
  <c r="H25" i="3"/>
  <c r="G25" i="3"/>
  <c r="E25" i="3"/>
  <c r="D25" i="3"/>
  <c r="C25" i="3"/>
  <c r="F25" i="3" s="1"/>
  <c r="B25" i="3"/>
  <c r="H24" i="3"/>
  <c r="G24" i="3"/>
  <c r="E24" i="3"/>
  <c r="D24" i="3"/>
  <c r="F24" i="3" s="1"/>
  <c r="C24" i="3"/>
  <c r="B24" i="3"/>
  <c r="H23" i="3"/>
  <c r="G23" i="3"/>
  <c r="E23" i="3"/>
  <c r="D23" i="3"/>
  <c r="F23" i="3" s="1"/>
  <c r="C23" i="3"/>
  <c r="B23" i="3"/>
  <c r="H22" i="3"/>
  <c r="G22" i="3"/>
  <c r="F22" i="3"/>
  <c r="E22" i="3"/>
  <c r="D22" i="3"/>
  <c r="C22" i="3"/>
  <c r="B22" i="3"/>
  <c r="H21" i="3"/>
  <c r="G21" i="3"/>
  <c r="E21" i="3"/>
  <c r="D21" i="3"/>
  <c r="C21" i="3"/>
  <c r="F21" i="3" s="1"/>
  <c r="B21" i="3"/>
  <c r="H20" i="3"/>
  <c r="G20" i="3"/>
  <c r="G31" i="3" s="1"/>
  <c r="E20" i="3"/>
  <c r="D20" i="3"/>
  <c r="C20" i="3"/>
  <c r="F20" i="3" s="1"/>
  <c r="B20" i="3"/>
  <c r="H19" i="3"/>
  <c r="H31" i="3" s="1"/>
  <c r="G19" i="3"/>
  <c r="E19" i="3"/>
  <c r="D19" i="3"/>
  <c r="C19" i="3"/>
  <c r="F19" i="3" s="1"/>
  <c r="B19" i="3"/>
  <c r="H18" i="3"/>
  <c r="G18" i="3"/>
  <c r="E18" i="3"/>
  <c r="E31" i="3" s="1"/>
  <c r="D18" i="3"/>
  <c r="F18" i="3" s="1"/>
  <c r="C18" i="3"/>
  <c r="C31" i="3" s="1"/>
  <c r="B18" i="3"/>
  <c r="B31" i="3" s="1"/>
  <c r="P7" i="3"/>
  <c r="M7" i="3"/>
  <c r="J7" i="3"/>
  <c r="G7" i="3"/>
  <c r="D7" i="3"/>
  <c r="A7" i="3"/>
  <c r="P5" i="3"/>
  <c r="J5" i="3"/>
  <c r="D5" i="3"/>
  <c r="O12" i="2"/>
  <c r="B7" i="5" s="1"/>
  <c r="A12" i="2"/>
  <c r="O11" i="2"/>
  <c r="B6" i="5" s="1"/>
  <c r="A11" i="2"/>
  <c r="O10" i="2"/>
  <c r="A10" i="2"/>
  <c r="G5" i="3" s="1"/>
  <c r="F5" i="2"/>
  <c r="E5" i="2"/>
  <c r="D5" i="2"/>
  <c r="C5" i="2"/>
  <c r="B5" i="2"/>
  <c r="A5" i="2"/>
  <c r="I25" i="3"/>
  <c r="I24" i="3"/>
  <c r="I23" i="3"/>
  <c r="I30" i="3"/>
  <c r="I22" i="3"/>
  <c r="I29" i="3"/>
  <c r="I21" i="3"/>
  <c r="I28" i="3"/>
  <c r="I20" i="3"/>
  <c r="I27" i="3"/>
  <c r="I19" i="3"/>
  <c r="I26" i="3"/>
  <c r="I18" i="3"/>
  <c r="H5" i="2" l="1"/>
  <c r="G5" i="2"/>
  <c r="A5" i="3"/>
  <c r="J18" i="3"/>
  <c r="J26" i="3"/>
  <c r="J19" i="3"/>
  <c r="J27" i="3"/>
  <c r="J20" i="3"/>
  <c r="J28" i="3"/>
  <c r="J21" i="3"/>
  <c r="J29" i="3"/>
  <c r="J22" i="3"/>
  <c r="J30" i="3"/>
  <c r="J23" i="3"/>
  <c r="J24" i="3"/>
  <c r="J25" i="3"/>
  <c r="Q18" i="4"/>
  <c r="F31" i="3"/>
  <c r="D31" i="3"/>
  <c r="A5" i="5"/>
  <c r="M5" i="3"/>
  <c r="B5" i="5"/>
  <c r="A6" i="5"/>
  <c r="F18" i="4"/>
  <c r="A7" i="5"/>
</calcChain>
</file>

<file path=xl/sharedStrings.xml><?xml version="1.0" encoding="utf-8"?>
<sst xmlns="http://schemas.openxmlformats.org/spreadsheetml/2006/main" count="617" uniqueCount="293">
  <si>
    <t xml:space="preserve">  DONEWELL INSURANCE — Methodist Branch Engagement Tracker</t>
  </si>
  <si>
    <t xml:space="preserve">  Shared OneDrive workbook for all 13 branch managers to log Methodist Church / Health Facility engagements.</t>
  </si>
  <si>
    <t>PURPOSE</t>
  </si>
  <si>
    <t>Track every engagement between Donewell branch managers and Methodist Church dioceses, circuits, societies, and Methodist health facilities. The data feeds an automatic rollup dashboard that the Methodist Unit Manager uses to monitor field activity, pipeline progression and strategic KPI achievement.</t>
  </si>
  <si>
    <t>HOW TO USE — BRANCH MANAGERS</t>
  </si>
  <si>
    <t>1. Open this file from the shared OneDrive folder (do NOT download).
2. Go to the 'Engagement Log' sheet.
3. Add one row per engagement. Use the dropdowns where provided — they auto-validate your entries.
4. Fill in pipeline value in GHS if a quotation was raised or expected.
5. Set a 'Next Action' and 'Next Action Date' so nothing slips.
6. Update 'Status' as the engagement progresses (Open → In Progress → Won/Lost/Closed).
7. Save the file — OneDrive auto-syncs. Other users see your updates within seconds.</t>
  </si>
  <si>
    <t>HOW TO USE — METHODIST UNIT MANAGER</t>
  </si>
  <si>
    <t>1. Open the 'Dashboard' sheet for an at-a-glance rollup of engagement activity by branch, type and outcome.
2. Use the 'Branch Heatmap' to identify under-engaged branches.
3. The 'Calendar View' shows upcoming next-actions across all branches — your weekly review tool.
4. Update 'Annual Targets' on the Dashboard sheet to reflect the current year's strategic plan numbers.
5. Run monthly engagement reviews using the Dashboard as the anchor document.</t>
  </si>
  <si>
    <t>DATA ENTRY RULES</t>
  </si>
  <si>
    <t>•  BLUE text = manager-entered fields  ·  BLACK text = auto-calculated, do not type over.
•  Every engagement needs a Date, Branch, Institution and Engagement Type — others are encouraged but optional.
•  Use dropdowns to keep dashboards clean. Free-text entries break the rollup.
•  Pipeline Value is the EXPECTED annual premium in GHS if the policy converts.
•  Status 'Won' means a policy was actually issued — set Won Premium accordingly.
•  Never delete rows — set Status to 'Closed' to retire stale records.</t>
  </si>
  <si>
    <t>CONFLICT HANDLING</t>
  </si>
  <si>
    <t>If two managers edit at the same time, OneDrive co-authoring resolves it automatically. If you ever see a conflict warning, accept your changes and notify the Methodist Unit Manager.</t>
  </si>
  <si>
    <t>STRATEGIC ALIGNMENT</t>
  </si>
  <si>
    <t>This tracker supports Priority Area 1 of the 2026-2028 Strategic Plan (Build a Sustainable Methodist Business). Targets cascade from the strategic plan: 120/250/400 institutions profiled, 30/80/150 covered, 18/24/30 leadership engagements. Branch-level activity targets are set on the Dashboard sheet.</t>
  </si>
  <si>
    <t>SHEET GUIDE</t>
  </si>
  <si>
    <t>README — this page.
Engagement Log — primary data entry.
Dashboard — auto-rollup of activity, pipeline and progress vs targets.
Branch Heatmap — branch-by-engagement-type matrix to spot gaps.
Calendar View — upcoming next-actions sorted by date.
Branches &amp; Managers — directory of branches and assigned managers.
Institutions Directory — list of all dioceses + health facilities for reference.
Lookups — hidden dropdown source data (do not edit).</t>
  </si>
  <si>
    <t xml:space="preserve">  ENGAGEMENT LOG  —  All Branch Manager Field Activity</t>
  </si>
  <si>
    <t xml:space="preserve">  One row per engagement. Use dropdowns. Save to sync via OneDrive.</t>
  </si>
  <si>
    <t>Total Engagements</t>
  </si>
  <si>
    <t>Open / In Progress</t>
  </si>
  <si>
    <t>Won</t>
  </si>
  <si>
    <t>Pipeline Value (GHS)</t>
  </si>
  <si>
    <t>Won Premium (GHS)</t>
  </si>
  <si>
    <t>Win Rate</t>
  </si>
  <si>
    <t>Engagements — This Month</t>
  </si>
  <si>
    <t>Overdue Next-Actions</t>
  </si>
  <si>
    <t>Date</t>
  </si>
  <si>
    <t>Branch</t>
  </si>
  <si>
    <t>Manager Name</t>
  </si>
  <si>
    <t>Institution Name</t>
  </si>
  <si>
    <t>Institution Type</t>
  </si>
  <si>
    <t>Region/Diocese</t>
  </si>
  <si>
    <t>Engagement Type</t>
  </si>
  <si>
    <t>Contact Person</t>
  </si>
  <si>
    <t>Contact Role</t>
  </si>
  <si>
    <t>Contact Phone</t>
  </si>
  <si>
    <t>Outcome</t>
  </si>
  <si>
    <t>Next Action</t>
  </si>
  <si>
    <t>Next Action Date</t>
  </si>
  <si>
    <t>Status</t>
  </si>
  <si>
    <t>Priority</t>
  </si>
  <si>
    <t>Notes</t>
  </si>
  <si>
    <t>Accra Main</t>
  </si>
  <si>
    <t>[Branch Manager Name]</t>
  </si>
  <si>
    <t>Methodist Church Ghana — Accra Diocese</t>
  </si>
  <si>
    <t>Diocese HQ</t>
  </si>
  <si>
    <t>Accra</t>
  </si>
  <si>
    <t>Formal Meeting</t>
  </si>
  <si>
    <t>[Bishop's Office]</t>
  </si>
  <si>
    <t>Diocesan Bishop</t>
  </si>
  <si>
    <t>[Phone]</t>
  </si>
  <si>
    <t>Quotation Requested</t>
  </si>
  <si>
    <t>Send fleet &amp; property quotation</t>
  </si>
  <si>
    <t>High</t>
  </si>
  <si>
    <t>Initial introduction. Diocese requested fleet &amp; property quotation for 4 vehicles and HQ building.</t>
  </si>
  <si>
    <t>Kumasi</t>
  </si>
  <si>
    <t>Methodist Hospital Aburaso</t>
  </si>
  <si>
    <t>Health Facility</t>
  </si>
  <si>
    <t>Ashanti</t>
  </si>
  <si>
    <t>Presentation</t>
  </si>
  <si>
    <t>[Hospital Administrator]</t>
  </si>
  <si>
    <t>Administrator</t>
  </si>
  <si>
    <t>Proposal Under Review</t>
  </si>
  <si>
    <t>Follow up next week with revised premium</t>
  </si>
  <si>
    <t>In Progress</t>
  </si>
  <si>
    <t>Presented professional indemnity + property cover. Admin reviewing with board.</t>
  </si>
  <si>
    <t>Cape Coast</t>
  </si>
  <si>
    <t>Methodist Church Ghana — Cape Coast Diocese</t>
  </si>
  <si>
    <t>Central</t>
  </si>
  <si>
    <t>Renewal Visit</t>
  </si>
  <si>
    <t>[Diocesan Secretary]</t>
  </si>
  <si>
    <t>Secretary</t>
  </si>
  <si>
    <t>Won — Policy Issued</t>
  </si>
  <si>
    <t>Schedule mid-term service review</t>
  </si>
  <si>
    <t>Medium</t>
  </si>
  <si>
    <t>Successful renewal — 3-year relationship continues.</t>
  </si>
  <si>
    <t xml:space="preserve">  METHODIST ENGAGEMENT DASHBOARD — Rollup Across All 13 Branches</t>
  </si>
  <si>
    <t xml:space="preserve">  Live aggregation from Engagement Log. Updated whenever a branch manager saves a change to OneDrive.</t>
  </si>
  <si>
    <t>ENGAGEMENTS YTD</t>
  </si>
  <si>
    <t>ACTIVE PIPELINE</t>
  </si>
  <si>
    <t>WON PREMIUM YTD</t>
  </si>
  <si>
    <t>WIN RATE</t>
  </si>
  <si>
    <t>OVERDUE NEXT-ACTIONS</t>
  </si>
  <si>
    <t>ACTIVE BRANCHES</t>
  </si>
  <si>
    <t>ANNUAL TARGETS — Editable (aligned to Strategic Plan 2026-2028)</t>
  </si>
  <si>
    <t>2026</t>
  </si>
  <si>
    <t>2027</t>
  </si>
  <si>
    <t>2028</t>
  </si>
  <si>
    <t>Total Branch Engagements (target)</t>
  </si>
  <si>
    <t>Leadership Engagements (Synod/Diocese)</t>
  </si>
  <si>
    <t>New Conversions (Won)</t>
  </si>
  <si>
    <t>Pipeline Value Target (GHS)</t>
  </si>
  <si>
    <t>ENGAGEMENT ROLLUP BY BRANCH</t>
  </si>
  <si>
    <t>Total Eng.</t>
  </si>
  <si>
    <t>Lost</t>
  </si>
  <si>
    <t>Open/InProg</t>
  </si>
  <si>
    <t>Pipeline (GHS)</t>
  </si>
  <si>
    <t>Last Engagement</t>
  </si>
  <si>
    <t>Days Since</t>
  </si>
  <si>
    <t>Tema</t>
  </si>
  <si>
    <t>Obuasi</t>
  </si>
  <si>
    <t>Takoradi</t>
  </si>
  <si>
    <t>Tarkwa</t>
  </si>
  <si>
    <t>Koforidua</t>
  </si>
  <si>
    <t>Sunyani</t>
  </si>
  <si>
    <t>Techiman</t>
  </si>
  <si>
    <t>Tamale</t>
  </si>
  <si>
    <t>Ho</t>
  </si>
  <si>
    <t>Wa</t>
  </si>
  <si>
    <t>TOTAL</t>
  </si>
  <si>
    <t>BY ENGAGEMENT TYPE</t>
  </si>
  <si>
    <t>BY OUTCOME</t>
  </si>
  <si>
    <t>Count</t>
  </si>
  <si>
    <t>Courtesy Visit</t>
  </si>
  <si>
    <t>Prospect Identified</t>
  </si>
  <si>
    <t>Information Gathered</t>
  </si>
  <si>
    <t>Quotation Discussion</t>
  </si>
  <si>
    <t>Quotation Sent</t>
  </si>
  <si>
    <t>Claims Visit</t>
  </si>
  <si>
    <t>Training/Workshop</t>
  </si>
  <si>
    <t>Lost — Price</t>
  </si>
  <si>
    <t>Synod Event</t>
  </si>
  <si>
    <t>Lost — Competitor</t>
  </si>
  <si>
    <t>Diocesan Event</t>
  </si>
  <si>
    <t>Lost — No Decision</t>
  </si>
  <si>
    <t>Society Visit</t>
  </si>
  <si>
    <t>Follow-up Required</t>
  </si>
  <si>
    <t>Cold Call</t>
  </si>
  <si>
    <t>Closed — No Interest</t>
  </si>
  <si>
    <t>Phone Follow-up</t>
  </si>
  <si>
    <t>Email Follow-up</t>
  </si>
  <si>
    <t>Cross-sell Visit</t>
  </si>
  <si>
    <t>Service Recovery</t>
  </si>
  <si>
    <t xml:space="preserve">  BRANCH × ENGAGEMENT-TYPE HEATMAP</t>
  </si>
  <si>
    <t xml:space="preserve">  Identify branches with low or skewed engagement activity — colour scale highlights gaps.</t>
  </si>
  <si>
    <t xml:space="preserve">  CALENDAR VIEW  —  Upcoming Next-Actions</t>
  </si>
  <si>
    <t xml:space="preserve">  Open this each Monday morning. Filter by branch or sort by date.</t>
  </si>
  <si>
    <t>Days Until</t>
  </si>
  <si>
    <t>Institution</t>
  </si>
  <si>
    <t>Manager</t>
  </si>
  <si>
    <t xml:space="preserve">  BRANCHES &amp; ASSIGNED MANAGERS</t>
  </si>
  <si>
    <t xml:space="preserve">  Edit manager names and contact details to keep this list current.</t>
  </si>
  <si>
    <t>Region</t>
  </si>
  <si>
    <t>Branch Manager</t>
  </si>
  <si>
    <t>Email</t>
  </si>
  <si>
    <t>Phone</t>
  </si>
  <si>
    <t>Greater Accra</t>
  </si>
  <si>
    <t>Western</t>
  </si>
  <si>
    <t>Eastern</t>
  </si>
  <si>
    <t>Bono</t>
  </si>
  <si>
    <t>Bono East</t>
  </si>
  <si>
    <t>Northern</t>
  </si>
  <si>
    <t>Volta</t>
  </si>
  <si>
    <t>Upper West</t>
  </si>
  <si>
    <t xml:space="preserve">  METHODIST INSTITUTIONS DIRECTORY  —  21 Dioceses + 26 Health Facilities</t>
  </si>
  <si>
    <t xml:space="preserve">  Reference list. The Engagement Log dropdown pulls from this sheet (via Lookups).</t>
  </si>
  <si>
    <t>Type</t>
  </si>
  <si>
    <t>Assigned Branch</t>
  </si>
  <si>
    <t>Circuits / Notes</t>
  </si>
  <si>
    <t>Membership</t>
  </si>
  <si>
    <t>Diocese</t>
  </si>
  <si>
    <t>34 circuits, 256 societies</t>
  </si>
  <si>
    <t>24 circuits, 106 societies</t>
  </si>
  <si>
    <t>Methodist Church Ghana — Kumasi Diocese</t>
  </si>
  <si>
    <t>40 circuits, 550 societies</t>
  </si>
  <si>
    <t>Methodist Church Ghana — Sekondi Diocese</t>
  </si>
  <si>
    <t>18 circuits, 347 societies</t>
  </si>
  <si>
    <t>Methodist Church Ghana — Winneba Diocese</t>
  </si>
  <si>
    <t>21 circuits, 355 societies</t>
  </si>
  <si>
    <t>Methodist Church Ghana — Koforidua Diocese</t>
  </si>
  <si>
    <t>20 circuits, 168 societies</t>
  </si>
  <si>
    <t>Methodist Church Ghana — Sunyani Diocese</t>
  </si>
  <si>
    <t>16 circuits, 260 societies</t>
  </si>
  <si>
    <t>Methodist Church Ghana — Tarkwa Diocese</t>
  </si>
  <si>
    <t>16 circuits, 363 societies</t>
  </si>
  <si>
    <t>Methodist Church Ghana — Tamale Diocese</t>
  </si>
  <si>
    <t>10 circuits, 51 societies</t>
  </si>
  <si>
    <t>Methodist Church Ghana — Oda Diocese</t>
  </si>
  <si>
    <t>17 circuits, 194 societies</t>
  </si>
  <si>
    <t>Methodist Church Ghana — Effiduase Diocese</t>
  </si>
  <si>
    <t>18 circuits, 267 societies</t>
  </si>
  <si>
    <t>Methodist Church Ghana — Obuasi Diocese</t>
  </si>
  <si>
    <t>21 circuits, 256 societies</t>
  </si>
  <si>
    <t>Methodist Church Ghana — Tema Diocese</t>
  </si>
  <si>
    <t>13 circuits, 90 societies</t>
  </si>
  <si>
    <t>Methodist Church Ghana — Wenchi Diocese</t>
  </si>
  <si>
    <t>14 circuits, 159 societies</t>
  </si>
  <si>
    <t>Methodist Church Ghana — Somanya Diocese</t>
  </si>
  <si>
    <t>9 circuits, 67 societies</t>
  </si>
  <si>
    <t>Methodist Church Ghana — Sefwi Bekwai Diocese</t>
  </si>
  <si>
    <t>Western North</t>
  </si>
  <si>
    <t>13 circuits, 257 societies</t>
  </si>
  <si>
    <t>Methodist Church Ghana — Foso Diocese</t>
  </si>
  <si>
    <t>9 circuits, 168 societies</t>
  </si>
  <si>
    <t>Methodist Church Ghana — Goaso Diocese</t>
  </si>
  <si>
    <t>Ahafo</t>
  </si>
  <si>
    <t>8 circuits, 110 societies</t>
  </si>
  <si>
    <t>Methodist Church Ghana — Nkawkaw Diocese</t>
  </si>
  <si>
    <t>9 circuits, 88 societies</t>
  </si>
  <si>
    <t>Methodist Church Ghana — Northern Accra Diocese</t>
  </si>
  <si>
    <t>18 circuits, 189 societies</t>
  </si>
  <si>
    <t>Methodist Church Ghana — Ho Diocese</t>
  </si>
  <si>
    <t>6 circuits, 66 societies</t>
  </si>
  <si>
    <t>Methodist Health Training Institute Afosu Campus</t>
  </si>
  <si>
    <t>New Abirem  ·  0244280748</t>
  </si>
  <si>
    <t>Methodist Medical Centre Lawra</t>
  </si>
  <si>
    <t>Upper East</t>
  </si>
  <si>
    <t>Northern Ghana  ·  0203190696</t>
  </si>
  <si>
    <t>Methodist Medical Centre Yipala</t>
  </si>
  <si>
    <t>Northern Ghana</t>
  </si>
  <si>
    <t>Zangey Yipala  ·  0248783205</t>
  </si>
  <si>
    <t>Methodist Hospital Wenchi</t>
  </si>
  <si>
    <t>Wenchi  ·  0208181340</t>
  </si>
  <si>
    <t>Methodist Medical Centre Kwakuyanya</t>
  </si>
  <si>
    <t>Bono Region</t>
  </si>
  <si>
    <t>Kwakuyanya  ·  0241645002</t>
  </si>
  <si>
    <t>Methodist Medical Centre Yawase</t>
  </si>
  <si>
    <t>Brong Ahafo</t>
  </si>
  <si>
    <t>Yawase  ·  0241645003</t>
  </si>
  <si>
    <t>Methodist Medical Centre Asuakwa</t>
  </si>
  <si>
    <t>Ashanti Region</t>
  </si>
  <si>
    <t>Asuakwa  ·  0241645004</t>
  </si>
  <si>
    <t>Methodist Medical Centre Adagyaman</t>
  </si>
  <si>
    <t>Ahafo Region</t>
  </si>
  <si>
    <t>Adagyaman  ·  0241645005</t>
  </si>
  <si>
    <t>Methodist Medical Centre Apagya</t>
  </si>
  <si>
    <t>Apagya  ·  0247844820</t>
  </si>
  <si>
    <t>Methodist Medical Centre Adum</t>
  </si>
  <si>
    <t>Adum  ·  0205089889</t>
  </si>
  <si>
    <t>Methodist Medical Centre Tafo</t>
  </si>
  <si>
    <t>Tafo  ·  0243055193</t>
  </si>
  <si>
    <t>Methodist Medical Centre Bebu</t>
  </si>
  <si>
    <t>Bebu  ·  0245497204</t>
  </si>
  <si>
    <t>Kumasi  ·  0288710508</t>
  </si>
  <si>
    <t>Methodist Hospital Ankase</t>
  </si>
  <si>
    <t>Ankase Kumasi  ·  0202198179</t>
  </si>
  <si>
    <t>Methodist Medical Centre Senchi</t>
  </si>
  <si>
    <t>Senchi  ·  0215888749</t>
  </si>
  <si>
    <t>Methodist Medical Centre Nyameani</t>
  </si>
  <si>
    <t>Nyameani  ·  0242187985</t>
  </si>
  <si>
    <t>Methodist Medical Centre Brodekwano</t>
  </si>
  <si>
    <t>Brodekwano  ·  0244155578</t>
  </si>
  <si>
    <t>Methodist Medical Centre Lake</t>
  </si>
  <si>
    <t>Amakom  ·  024078844</t>
  </si>
  <si>
    <t>Methodist Medical Centre Hweehwee</t>
  </si>
  <si>
    <t>Hweehwee  ·  020893157</t>
  </si>
  <si>
    <t>Methodist Medical Centre Osuben</t>
  </si>
  <si>
    <t>Eastern Region</t>
  </si>
  <si>
    <t>Osuben  ·  0208145487</t>
  </si>
  <si>
    <t>Methodist Medical Centre Kwawu</t>
  </si>
  <si>
    <t>Kwawu  ·  0248799513</t>
  </si>
  <si>
    <t>Methodist Medical Centre Adjoafua</t>
  </si>
  <si>
    <t>Western Region</t>
  </si>
  <si>
    <t>Adjoafua  ·  0208418482</t>
  </si>
  <si>
    <t>Methodist Medical Centre Takoradi</t>
  </si>
  <si>
    <t>Takoradi Municipal  ·  0542349997</t>
  </si>
  <si>
    <t>Methodist Medical Centre Benyin/Nzulezu</t>
  </si>
  <si>
    <t>Nzulezu  ·  0248293414</t>
  </si>
  <si>
    <t>Methodist Medical Centre Gwira Esiem</t>
  </si>
  <si>
    <t>Esiem  ·  0509800883</t>
  </si>
  <si>
    <t>Methodist Medical Centre Kyekyewere</t>
  </si>
  <si>
    <t>Tain  ·  0208344780</t>
  </si>
  <si>
    <t>Institutions</t>
  </si>
  <si>
    <t>Branches</t>
  </si>
  <si>
    <t>Engagement Types</t>
  </si>
  <si>
    <t>Outcomes</t>
  </si>
  <si>
    <t>Institution Types</t>
  </si>
  <si>
    <t>Open</t>
  </si>
  <si>
    <t>Circuit</t>
  </si>
  <si>
    <t>Society/Church</t>
  </si>
  <si>
    <t>Low</t>
  </si>
  <si>
    <t>Closed</t>
  </si>
  <si>
    <t>School/Educational</t>
  </si>
  <si>
    <t>On Hold</t>
  </si>
  <si>
    <t>Other Methodist Institution</t>
  </si>
  <si>
    <t>Ernest Kwasi Hammond</t>
  </si>
  <si>
    <t>ekhammond@donewellinsurance.com</t>
  </si>
  <si>
    <t>Yvette Selinam Xetsa Ampofo</t>
  </si>
  <si>
    <t>ysxampofo@donewellinsurance.com</t>
  </si>
  <si>
    <t>Samuel Lartey</t>
  </si>
  <si>
    <t>slartey@donewellinsurance.com</t>
  </si>
  <si>
    <t>Anthony Borlu</t>
  </si>
  <si>
    <t>aborlu@donewellinsurance.com</t>
  </si>
  <si>
    <t>John Blankson</t>
  </si>
  <si>
    <t>jblankson@donewellinsurance.com</t>
  </si>
  <si>
    <t>Cyril Tetteh</t>
  </si>
  <si>
    <t>ctetteh@donewellinsurance.com</t>
  </si>
  <si>
    <t>Patrick Donkoh</t>
  </si>
  <si>
    <t>pdonkoh@donewellinsurance.com</t>
  </si>
  <si>
    <t>Benjamin Lorwont Ninlabsiba</t>
  </si>
  <si>
    <t>blninlabsiba@donewellinsurance.com</t>
  </si>
  <si>
    <t>Korleki Setor Akpey</t>
  </si>
  <si>
    <t>ksakpey@donewellinsurance.com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</si>
</sst>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yyyy\-mm\-dd"/>
    <numFmt numFmtId="166" formatCode="#,##0;\-#,##0;\–"/>
    <numFmt numFmtId="167" formatCode="#,##0;[Red]\-#,##0;\–"/>
  </numFmts>
  <fonts count="19" x14ac:knownFonts="1">
    <font>
      <sz val="11"/>
      <color theme="1"/>
      <name val="Calibri"/>
      <family val="2"/>
      <charset val="1"/>
    </font>
    <font>
      <b/>
      <sz val="18"/>
      <color rgb="FFFFFFFF"/>
      <name val="Calibri"/>
      <charset val="1"/>
    </font>
    <font>
      <i/>
      <sz val="11"/>
      <color rgb="FF595959"/>
      <name val="Calibri"/>
      <charset val="1"/>
    </font>
    <font>
      <b/>
      <sz val="12"/>
      <color rgb="FFFFFFFF"/>
      <name val="Calibri"/>
      <charset val="1"/>
    </font>
    <font>
      <sz val="10.5"/>
      <name val="Calibri"/>
      <charset val="1"/>
    </font>
    <font>
      <b/>
      <sz val="9"/>
      <color rgb="FFFFFFFF"/>
      <name val="Calibri"/>
      <charset val="1"/>
    </font>
    <font>
      <b/>
      <sz val="14"/>
      <color rgb="FF1F4E79"/>
      <name val="Calibri"/>
      <charset val="1"/>
    </font>
    <font>
      <b/>
      <sz val="14"/>
      <color rgb="FFBF9000"/>
      <name val="Calibri"/>
      <charset val="1"/>
    </font>
    <font>
      <b/>
      <sz val="14"/>
      <color rgb="FFC6EFCE"/>
      <name val="Calibri"/>
      <charset val="1"/>
    </font>
    <font>
      <b/>
      <sz val="14"/>
      <color rgb="FFC00000"/>
      <name val="Calibri"/>
      <charset val="1"/>
    </font>
    <font>
      <b/>
      <sz val="14"/>
      <color rgb="FFFFC7CE"/>
      <name val="Calibri"/>
      <charset val="1"/>
    </font>
    <font>
      <b/>
      <sz val="10"/>
      <color rgb="FFFFFFFF"/>
      <name val="Calibri"/>
      <charset val="1"/>
    </font>
    <font>
      <sz val="10"/>
      <color rgb="FF0070C0"/>
      <name val="Calibri"/>
      <charset val="1"/>
    </font>
    <font>
      <b/>
      <sz val="16"/>
      <color rgb="FF1F4E79"/>
      <name val="Calibri"/>
      <charset val="1"/>
    </font>
    <font>
      <i/>
      <sz val="9"/>
      <color rgb="FF595959"/>
      <name val="Calibri"/>
      <charset val="1"/>
    </font>
    <font>
      <b/>
      <sz val="10"/>
      <name val="Calibri"/>
      <charset val="1"/>
    </font>
    <font>
      <sz val="10"/>
      <name val="Calibri"/>
      <charset val="1"/>
    </font>
    <font>
      <u/>
      <sz val="11"/>
      <color theme="10"/>
      <name val="Calibri"/>
      <family val="2"/>
      <charset val="1"/>
    </font>
    <font>
      <b/>
      <sz val="10"/>
      <name val="Calibri"/>
      <family val="2"/>
    </font>
  </fonts>
  <fills count="10">
    <fill>
      <patternFill patternType="none"/>
    </fill>
    <fill>
      <patternFill patternType="gray125"/>
    </fill>
    <fill>
      <patternFill patternType="solid">
        <fgColor rgb="FF1F4E79"/>
        <bgColor rgb="FF003366"/>
      </patternFill>
    </fill>
    <fill>
      <patternFill patternType="solid">
        <fgColor rgb="FFC00000"/>
        <bgColor rgb="FF800000"/>
      </patternFill>
    </fill>
    <fill>
      <patternFill patternType="solid">
        <fgColor rgb="FFBF9000"/>
        <bgColor rgb="FF808000"/>
      </patternFill>
    </fill>
    <fill>
      <patternFill patternType="solid">
        <fgColor rgb="FFC6EFCE"/>
        <bgColor rgb="FFD9D9D9"/>
      </patternFill>
    </fill>
    <fill>
      <patternFill patternType="solid">
        <fgColor rgb="FFFFC7CE"/>
        <bgColor rgb="FFD9D9D9"/>
      </patternFill>
    </fill>
    <fill>
      <patternFill patternType="solid">
        <fgColor rgb="FFF8F9FA"/>
        <bgColor rgb="FFF9F9F9"/>
      </patternFill>
    </fill>
    <fill>
      <patternFill patternType="solid">
        <fgColor rgb="FFFFFFFF"/>
        <bgColor rgb="FFF9F9F9"/>
      </patternFill>
    </fill>
    <fill>
      <patternFill patternType="solid">
        <fgColor rgb="FFF2F2F2"/>
        <bgColor rgb="FFF8F9FA"/>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17" fillId="0" borderId="0" applyNumberFormat="0" applyFill="0" applyBorder="0" applyAlignment="0" applyProtection="0"/>
  </cellStyleXfs>
  <cellXfs count="87">
    <xf numFmtId="0" fontId="0" fillId="0" borderId="0" xfId="0"/>
    <xf numFmtId="0" fontId="14" fillId="9" borderId="1" xfId="0" applyFont="1" applyFill="1" applyBorder="1" applyAlignment="1">
      <alignment horizontal="center" vertical="center"/>
    </xf>
    <xf numFmtId="164" fontId="13" fillId="8" borderId="1" xfId="0" applyNumberFormat="1" applyFont="1" applyFill="1" applyBorder="1" applyAlignment="1">
      <alignment horizontal="center" vertical="center"/>
    </xf>
    <xf numFmtId="0" fontId="13" fillId="8" borderId="1" xfId="0" applyFont="1" applyFill="1" applyBorder="1" applyAlignment="1">
      <alignment horizontal="center" vertical="center"/>
    </xf>
    <xf numFmtId="3" fontId="13" fillId="8" borderId="1" xfId="0" applyNumberFormat="1" applyFont="1" applyFill="1" applyBorder="1" applyAlignment="1">
      <alignment horizontal="center" vertical="center"/>
    </xf>
    <xf numFmtId="0" fontId="11" fillId="6" borderId="1" xfId="0" applyFont="1" applyFill="1" applyBorder="1" applyAlignment="1">
      <alignment horizontal="center" vertical="center"/>
    </xf>
    <xf numFmtId="0" fontId="11" fillId="4" borderId="1" xfId="0" applyFont="1" applyFill="1" applyBorder="1" applyAlignment="1">
      <alignment horizontal="center" vertical="center"/>
    </xf>
    <xf numFmtId="0" fontId="11" fillId="5" borderId="1" xfId="0" applyFont="1" applyFill="1" applyBorder="1" applyAlignment="1">
      <alignment horizontal="center" vertical="center"/>
    </xf>
    <xf numFmtId="0" fontId="11" fillId="3" borderId="1" xfId="0" applyFont="1" applyFill="1" applyBorder="1" applyAlignment="1">
      <alignment horizontal="center" vertical="center"/>
    </xf>
    <xf numFmtId="0" fontId="11" fillId="2" borderId="1" xfId="0" applyFont="1" applyFill="1" applyBorder="1" applyAlignment="1">
      <alignment horizontal="center" vertical="center"/>
    </xf>
    <xf numFmtId="0" fontId="3" fillId="3" borderId="0" xfId="0" applyFont="1" applyFill="1" applyBorder="1" applyAlignment="1">
      <alignment horizontal="left" vertical="center" indent="1"/>
    </xf>
    <xf numFmtId="0" fontId="2" fillId="0" borderId="0" xfId="0" applyFont="1" applyBorder="1" applyAlignment="1">
      <alignment horizontal="left" vertical="center" indent="1"/>
    </xf>
    <xf numFmtId="0" fontId="1" fillId="2" borderId="0" xfId="0" applyFont="1" applyFill="1" applyBorder="1" applyAlignment="1">
      <alignment horizontal="left" vertical="center" indent="1"/>
    </xf>
    <xf numFmtId="0" fontId="4" fillId="0" borderId="0" xfId="0" applyFont="1" applyAlignment="1">
      <alignment vertical="top" wrapText="1"/>
    </xf>
    <xf numFmtId="0" fontId="5" fillId="2" borderId="0" xfId="0" applyFont="1" applyFill="1" applyAlignment="1">
      <alignment horizontal="center" vertical="center"/>
    </xf>
    <xf numFmtId="0" fontId="5" fillId="4" borderId="0" xfId="0" applyFont="1" applyFill="1" applyAlignment="1">
      <alignment horizontal="center" vertical="center"/>
    </xf>
    <xf numFmtId="0" fontId="5" fillId="5" borderId="0" xfId="0" applyFont="1" applyFill="1" applyAlignment="1">
      <alignment horizontal="center" vertical="center"/>
    </xf>
    <xf numFmtId="0" fontId="5" fillId="3" borderId="0" xfId="0" applyFont="1" applyFill="1" applyAlignment="1">
      <alignment horizontal="center" vertical="center"/>
    </xf>
    <xf numFmtId="0" fontId="5" fillId="6" borderId="0" xfId="0" applyFont="1" applyFill="1" applyAlignment="1">
      <alignment horizontal="center" vertical="center"/>
    </xf>
    <xf numFmtId="0" fontId="6"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xf>
    <xf numFmtId="164" fontId="7" fillId="0" borderId="0" xfId="0" applyNumberFormat="1" applyFont="1" applyAlignment="1">
      <alignment horizontal="center"/>
    </xf>
    <xf numFmtId="0" fontId="10" fillId="0" borderId="0" xfId="0" applyFont="1" applyAlignment="1">
      <alignment horizontal="center"/>
    </xf>
    <xf numFmtId="0" fontId="0" fillId="2" borderId="0" xfId="0" applyFill="1"/>
    <xf numFmtId="0" fontId="11" fillId="2" borderId="1" xfId="0" applyFont="1" applyFill="1" applyBorder="1" applyAlignment="1">
      <alignment horizontal="center" vertical="center" wrapText="1"/>
    </xf>
    <xf numFmtId="165" fontId="12" fillId="7" borderId="2" xfId="0" applyNumberFormat="1" applyFont="1" applyFill="1" applyBorder="1" applyAlignment="1">
      <alignment vertical="center"/>
    </xf>
    <xf numFmtId="0" fontId="12" fillId="7" borderId="2" xfId="0" applyFont="1" applyFill="1" applyBorder="1" applyAlignment="1">
      <alignment vertical="center"/>
    </xf>
    <xf numFmtId="0" fontId="12" fillId="7" borderId="2" xfId="0" applyFont="1" applyFill="1" applyBorder="1" applyAlignment="1">
      <alignment vertical="center"/>
    </xf>
    <xf numFmtId="0" fontId="12" fillId="7" borderId="2" xfId="0" applyFont="1" applyFill="1" applyBorder="1" applyAlignment="1">
      <alignment vertical="center" wrapText="1"/>
    </xf>
    <xf numFmtId="165" fontId="12" fillId="0" borderId="2" xfId="0" applyNumberFormat="1" applyFont="1" applyBorder="1" applyAlignment="1">
      <alignment vertical="center"/>
    </xf>
    <xf numFmtId="0" fontId="12" fillId="0" borderId="2" xfId="0" applyFont="1" applyBorder="1" applyAlignment="1">
      <alignment vertical="center"/>
    </xf>
    <xf numFmtId="0" fontId="12" fillId="0" borderId="2" xfId="0" applyFont="1" applyBorder="1" applyAlignment="1">
      <alignment vertical="center"/>
    </xf>
    <xf numFmtId="0" fontId="12" fillId="0" borderId="2" xfId="0" applyFont="1" applyBorder="1" applyAlignment="1">
      <alignment vertical="center" wrapText="1"/>
    </xf>
    <xf numFmtId="0" fontId="11" fillId="2" borderId="3" xfId="0" applyFont="1" applyFill="1" applyBorder="1" applyAlignment="1">
      <alignment horizontal="center"/>
    </xf>
    <xf numFmtId="0" fontId="15" fillId="0" borderId="0" xfId="0" applyFont="1"/>
    <xf numFmtId="0" fontId="12" fillId="0" borderId="0" xfId="0" applyFont="1" applyAlignment="1">
      <alignment horizontal="center"/>
    </xf>
    <xf numFmtId="0" fontId="12" fillId="0" borderId="0" xfId="0" applyFont="1" applyAlignment="1">
      <alignment horizontal="center"/>
    </xf>
    <xf numFmtId="0" fontId="15" fillId="7" borderId="2" xfId="0" applyFont="1" applyFill="1" applyBorder="1" applyAlignment="1">
      <alignment horizontal="left" vertical="center"/>
    </xf>
    <xf numFmtId="3" fontId="0" fillId="7" borderId="2" xfId="0" applyNumberFormat="1" applyFill="1" applyBorder="1" applyAlignment="1">
      <alignment horizontal="center" vertical="center"/>
    </xf>
    <xf numFmtId="164" fontId="0" fillId="7" borderId="2" xfId="0" applyNumberFormat="1" applyFill="1" applyBorder="1" applyAlignment="1">
      <alignment horizontal="center" vertical="center"/>
    </xf>
    <xf numFmtId="0" fontId="0" fillId="7" borderId="2" xfId="0" applyFill="1" applyBorder="1" applyAlignment="1">
      <alignment horizontal="center" vertical="center"/>
    </xf>
    <xf numFmtId="165" fontId="0" fillId="7" borderId="2" xfId="0" applyNumberFormat="1" applyFill="1" applyBorder="1" applyAlignment="1">
      <alignment horizontal="center" vertical="center"/>
    </xf>
    <xf numFmtId="0" fontId="15" fillId="0" borderId="2" xfId="0" applyFont="1" applyBorder="1" applyAlignment="1">
      <alignment horizontal="left" vertical="center"/>
    </xf>
    <xf numFmtId="3"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0" borderId="2" xfId="0" applyBorder="1" applyAlignment="1">
      <alignment horizontal="center" vertical="center"/>
    </xf>
    <xf numFmtId="165" fontId="0" fillId="0" borderId="2" xfId="0" applyNumberFormat="1" applyBorder="1" applyAlignment="1">
      <alignment horizontal="center" vertical="center"/>
    </xf>
    <xf numFmtId="0" fontId="11" fillId="2" borderId="0" xfId="0" applyFont="1" applyFill="1"/>
    <xf numFmtId="3" fontId="11" fillId="2" borderId="0" xfId="0" applyNumberFormat="1" applyFont="1" applyFill="1" applyAlignment="1">
      <alignment horizontal="center"/>
    </xf>
    <xf numFmtId="164" fontId="11" fillId="2" borderId="0" xfId="0" applyNumberFormat="1" applyFont="1" applyFill="1" applyAlignment="1">
      <alignment horizontal="center"/>
    </xf>
    <xf numFmtId="0" fontId="11" fillId="2" borderId="0" xfId="0" applyFont="1" applyFill="1" applyAlignment="1">
      <alignment horizontal="center"/>
    </xf>
    <xf numFmtId="0" fontId="11" fillId="2" borderId="0" xfId="0" applyFont="1" applyFill="1" applyAlignment="1">
      <alignment horizontal="center"/>
    </xf>
    <xf numFmtId="0" fontId="11" fillId="2" borderId="1" xfId="0" applyFont="1" applyFill="1" applyBorder="1" applyAlignment="1">
      <alignment horizontal="center"/>
    </xf>
    <xf numFmtId="0" fontId="16" fillId="7" borderId="2" xfId="0" applyFont="1" applyFill="1" applyBorder="1" applyAlignment="1">
      <alignment horizontal="left"/>
    </xf>
    <xf numFmtId="3" fontId="0" fillId="7" borderId="2" xfId="0" applyNumberFormat="1" applyFill="1" applyBorder="1" applyAlignment="1">
      <alignment horizontal="center"/>
    </xf>
    <xf numFmtId="0" fontId="0" fillId="7" borderId="2" xfId="0" applyFill="1" applyBorder="1" applyAlignment="1">
      <alignment horizontal="center"/>
    </xf>
    <xf numFmtId="0" fontId="16" fillId="0" borderId="2" xfId="0" applyFont="1" applyBorder="1" applyAlignment="1">
      <alignment horizontal="left"/>
    </xf>
    <xf numFmtId="3" fontId="0" fillId="0" borderId="2" xfId="0" applyNumberFormat="1" applyBorder="1" applyAlignment="1">
      <alignment horizontal="center"/>
    </xf>
    <xf numFmtId="0" fontId="0" fillId="0" borderId="2" xfId="0" applyBorder="1" applyAlignment="1">
      <alignment horizontal="center"/>
    </xf>
    <xf numFmtId="0" fontId="5" fillId="2" borderId="0" xfId="0" applyFont="1" applyFill="1" applyAlignment="1">
      <alignment horizontal="center" textRotation="60" wrapText="1"/>
    </xf>
    <xf numFmtId="0" fontId="5" fillId="3" borderId="0" xfId="0" applyFont="1" applyFill="1" applyAlignment="1">
      <alignment horizontal="center"/>
    </xf>
    <xf numFmtId="0" fontId="15" fillId="0" borderId="2" xfId="0" applyFont="1" applyBorder="1" applyAlignment="1">
      <alignment horizontal="left"/>
    </xf>
    <xf numFmtId="166" fontId="0" fillId="0" borderId="2" xfId="0" applyNumberFormat="1" applyBorder="1" applyAlignment="1">
      <alignment horizontal="center"/>
    </xf>
    <xf numFmtId="0" fontId="11" fillId="3" borderId="0" xfId="0" applyFont="1" applyFill="1"/>
    <xf numFmtId="3" fontId="11" fillId="3" borderId="0" xfId="0" applyNumberFormat="1" applyFont="1" applyFill="1" applyAlignment="1">
      <alignment horizontal="center"/>
    </xf>
    <xf numFmtId="165" fontId="16" fillId="0" borderId="2" xfId="0" applyNumberFormat="1" applyFont="1" applyBorder="1" applyAlignment="1">
      <alignment horizontal="center" vertical="center"/>
    </xf>
    <xf numFmtId="167" fontId="16" fillId="0" borderId="2" xfId="0" applyNumberFormat="1" applyFont="1" applyBorder="1" applyAlignment="1">
      <alignment horizontal="center" vertical="center"/>
    </xf>
    <xf numFmtId="0" fontId="16" fillId="0" borderId="2" xfId="0" applyFont="1" applyBorder="1" applyAlignment="1">
      <alignment horizontal="left" vertical="center"/>
    </xf>
    <xf numFmtId="0" fontId="16" fillId="0" borderId="2" xfId="0" applyFont="1" applyBorder="1" applyAlignment="1">
      <alignment horizontal="center" vertical="center"/>
    </xf>
    <xf numFmtId="0" fontId="16" fillId="0" borderId="2" xfId="0" applyFont="1" applyBorder="1" applyAlignment="1">
      <alignment horizontal="center" vertical="center"/>
    </xf>
    <xf numFmtId="165" fontId="16" fillId="7" borderId="2" xfId="0" applyNumberFormat="1" applyFont="1" applyFill="1" applyBorder="1" applyAlignment="1">
      <alignment horizontal="center" vertical="center"/>
    </xf>
    <xf numFmtId="167" fontId="16" fillId="7" borderId="2" xfId="0" applyNumberFormat="1" applyFont="1" applyFill="1" applyBorder="1" applyAlignment="1">
      <alignment horizontal="center" vertical="center"/>
    </xf>
    <xf numFmtId="0" fontId="16" fillId="7" borderId="2" xfId="0" applyFont="1" applyFill="1" applyBorder="1" applyAlignment="1">
      <alignment horizontal="left" vertical="center"/>
    </xf>
    <xf numFmtId="0" fontId="16" fillId="7" borderId="2" xfId="0" applyFont="1" applyFill="1" applyBorder="1" applyAlignment="1">
      <alignment horizontal="center" vertical="center"/>
    </xf>
    <xf numFmtId="0" fontId="16" fillId="7" borderId="2" xfId="0" applyFont="1" applyFill="1" applyBorder="1" applyAlignment="1">
      <alignment horizontal="center" vertical="center"/>
    </xf>
    <xf numFmtId="0" fontId="15" fillId="7" borderId="2" xfId="0" applyFont="1" applyFill="1" applyBorder="1" applyAlignment="1">
      <alignment vertical="center"/>
    </xf>
    <xf numFmtId="0" fontId="16" fillId="7" borderId="2" xfId="0" applyFont="1" applyFill="1" applyBorder="1" applyAlignment="1">
      <alignment vertical="center"/>
    </xf>
    <xf numFmtId="0" fontId="15" fillId="0" borderId="2" xfId="0" applyFont="1" applyBorder="1" applyAlignment="1">
      <alignment vertical="center"/>
    </xf>
    <xf numFmtId="0" fontId="16" fillId="0" borderId="2" xfId="0" applyFont="1" applyBorder="1" applyAlignment="1">
      <alignment vertical="center"/>
    </xf>
    <xf numFmtId="3" fontId="16" fillId="0" borderId="2" xfId="0" applyNumberFormat="1" applyFont="1" applyBorder="1" applyAlignment="1">
      <alignment vertical="center"/>
    </xf>
    <xf numFmtId="3" fontId="16" fillId="7" borderId="2" xfId="0" applyNumberFormat="1" applyFont="1" applyFill="1" applyBorder="1" applyAlignment="1">
      <alignment vertical="center"/>
    </xf>
    <xf numFmtId="0" fontId="17" fillId="7" borderId="2" xfId="1" applyFill="1" applyBorder="1" applyAlignment="1">
      <alignment vertical="center"/>
    </xf>
    <xf numFmtId="0" fontId="17" fillId="0" borderId="2" xfId="1" applyBorder="1" applyAlignment="1">
      <alignment vertical="center"/>
    </xf>
    <xf numFmtId="0" fontId="18" fillId="0" borderId="2" xfId="0" applyFont="1" applyBorder="1" applyAlignment="1">
      <alignment vertical="center"/>
    </xf>
  </cellXfs>
  <cellStyles count="2">
    <cellStyle name="Hyperlink" xfId="1" builtinId="8"/>
    <cellStyle name="Normal" xfId="0" builtinId="0"/>
  </cellStyles>
  <dxfs count="16">
    <dxf>
      <font>
        <b/>
        <color rgb="FFFFFFFF"/>
        <name val="Calibri"/>
      </font>
      <fill>
        <patternFill>
          <bgColor rgb="FFC6EFCE"/>
        </patternFill>
      </fill>
    </dxf>
    <dxf>
      <font>
        <b/>
        <color rgb="FFFFFFFF"/>
        <name val="Calibri"/>
      </font>
      <fill>
        <patternFill>
          <bgColor rgb="FFFFEB9C"/>
        </patternFill>
      </fill>
    </dxf>
    <dxf>
      <font>
        <b/>
        <color rgb="FFFFFFFF"/>
        <name val="Calibri"/>
      </font>
      <fill>
        <patternFill>
          <bgColor rgb="FFFFC7CE"/>
        </patternFill>
      </fill>
    </dxf>
    <dxf>
      <font>
        <b/>
        <color rgb="FFFFFFFF"/>
        <name val="Calibri"/>
      </font>
      <fill>
        <patternFill>
          <bgColor rgb="FFC6EFCE"/>
        </patternFill>
      </fill>
    </dxf>
    <dxf>
      <font>
        <b/>
        <color rgb="FFFFFFFF"/>
        <name val="Calibri"/>
      </font>
      <fill>
        <patternFill>
          <bgColor rgb="FFFFEB9C"/>
        </patternFill>
      </fill>
    </dxf>
    <dxf>
      <font>
        <b/>
        <color rgb="FFFFFFFF"/>
        <name val="Calibri"/>
      </font>
      <fill>
        <patternFill>
          <bgColor rgb="FFFFC7CE"/>
        </patternFill>
      </fill>
    </dxf>
    <dxf>
      <font>
        <b/>
        <sz val="10"/>
        <color rgb="FFFFFFFF"/>
        <name val="Calibri"/>
      </font>
      <fill>
        <patternFill>
          <bgColor rgb="FFFFC7CE"/>
        </patternFill>
      </fill>
    </dxf>
    <dxf>
      <font>
        <b/>
        <sz val="10"/>
        <color rgb="FFFFFFFF"/>
        <name val="Calibri"/>
      </font>
      <fill>
        <patternFill>
          <bgColor rgb="FFC6EFCE"/>
        </patternFill>
      </fill>
    </dxf>
    <dxf>
      <font>
        <b/>
        <sz val="10"/>
        <color rgb="FFFFFFFF"/>
        <name val="Calibri"/>
      </font>
      <fill>
        <patternFill>
          <bgColor rgb="FFFFEB9C"/>
        </patternFill>
      </fill>
    </dxf>
    <dxf>
      <font>
        <b/>
        <sz val="10"/>
        <color rgb="FFFFFFFF"/>
        <name val="Calibri"/>
      </font>
      <fill>
        <patternFill>
          <bgColor rgb="FFFFC7CE"/>
        </patternFill>
      </fill>
    </dxf>
    <dxf>
      <font>
        <b/>
        <sz val="10"/>
        <color rgb="FFFFFFFF"/>
        <name val="Calibri"/>
      </font>
      <fill>
        <patternFill>
          <bgColor rgb="FFBFBFBF"/>
        </patternFill>
      </fill>
    </dxf>
    <dxf>
      <font>
        <b/>
        <sz val="10"/>
        <color rgb="FFFFFFFF"/>
        <name val="Calibri"/>
      </font>
      <fill>
        <patternFill>
          <bgColor rgb="FF808080"/>
        </patternFill>
      </fill>
    </dxf>
    <dxf>
      <font>
        <b/>
        <sz val="10"/>
        <color rgb="FFFFFFFF"/>
        <name val="Calibri"/>
      </font>
      <fill>
        <patternFill>
          <bgColor rgb="FF1F4E79"/>
        </patternFill>
      </fill>
    </dxf>
    <dxf>
      <font>
        <b/>
        <sz val="10"/>
        <color rgb="FFFFFFFF"/>
        <name val="Calibri"/>
      </font>
      <fill>
        <patternFill>
          <bgColor rgb="FFFFEB9C"/>
        </patternFill>
      </fill>
    </dxf>
    <dxf>
      <font>
        <b/>
        <sz val="10"/>
        <color rgb="FFFFFFFF"/>
        <name val="Calibri"/>
      </font>
      <fill>
        <patternFill>
          <bgColor rgb="FFFFC7CE"/>
        </patternFill>
      </fill>
    </dxf>
    <dxf>
      <font>
        <b/>
        <sz val="10"/>
        <color rgb="FFFFFFFF"/>
        <name val="Calibri"/>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C0504D"/>
      <rgbColor rgb="FFF9F9F9"/>
      <rgbColor rgb="FFF2F2F2"/>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F8F9FA"/>
      <rgbColor rgb="FFC6EFCE"/>
      <rgbColor rgb="FFFFEB9C"/>
      <rgbColor rgb="FF99CCFF"/>
      <rgbColor rgb="FFFF99CC"/>
      <rgbColor rgb="FFCC99FF"/>
      <rgbColor rgb="FFFFC7CE"/>
      <rgbColor rgb="FF4F81BD"/>
      <rgbColor rgb="FF33CCCC"/>
      <rgbColor rgb="FF99CC00"/>
      <rgbColor rgb="FFFFCC00"/>
      <rgbColor rgb="FFBF9000"/>
      <rgbColor rgb="FFFF6600"/>
      <rgbColor rgb="FF595959"/>
      <rgbColor rgb="FF878787"/>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Engagements by Branch</a:t>
            </a:r>
          </a:p>
        </c:rich>
      </c:tx>
      <c:overlay val="0"/>
      <c:spPr>
        <a:noFill/>
        <a:ln w="0">
          <a:noFill/>
        </a:ln>
      </c:spPr>
    </c:title>
    <c:autoTitleDeleted val="0"/>
    <c:plotArea>
      <c:layout/>
      <c:barChart>
        <c:barDir val="bar"/>
        <c:grouping val="clustered"/>
        <c:varyColors val="0"/>
        <c:ser>
          <c:idx val="0"/>
          <c:order val="0"/>
          <c:tx>
            <c:strRef>
              <c:f>Dashboard!$B$17</c:f>
              <c:strCache>
                <c:ptCount val="1"/>
                <c:pt idx="0">
                  <c:v>Total Eng.</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Dashboard!$A$18:$A$30</c:f>
              <c:strCache>
                <c:ptCount val="13"/>
                <c:pt idx="0">
                  <c:v>Accra Main</c:v>
                </c:pt>
                <c:pt idx="1">
                  <c:v>Tema</c:v>
                </c:pt>
                <c:pt idx="2">
                  <c:v>Kumasi</c:v>
                </c:pt>
                <c:pt idx="3">
                  <c:v>Obuasi</c:v>
                </c:pt>
                <c:pt idx="4">
                  <c:v>Takoradi</c:v>
                </c:pt>
                <c:pt idx="5">
                  <c:v>Tarkwa</c:v>
                </c:pt>
                <c:pt idx="6">
                  <c:v>Cape Coast</c:v>
                </c:pt>
                <c:pt idx="7">
                  <c:v>Koforidua</c:v>
                </c:pt>
                <c:pt idx="8">
                  <c:v>Sunyani</c:v>
                </c:pt>
                <c:pt idx="9">
                  <c:v>Techiman</c:v>
                </c:pt>
                <c:pt idx="10">
                  <c:v>Tamale</c:v>
                </c:pt>
                <c:pt idx="11">
                  <c:v>Ho</c:v>
                </c:pt>
                <c:pt idx="12">
                  <c:v>Wa</c:v>
                </c:pt>
              </c:strCache>
            </c:strRef>
          </c:cat>
          <c:val>
            <c:numRef>
              <c:f>Dashboard!$B$18:$B$30</c:f>
              <c:numCache>
                <c:formatCode>#,##0</c:formatCode>
                <c:ptCount val="13"/>
                <c:pt idx="0">
                  <c:v>1</c:v>
                </c:pt>
                <c:pt idx="1">
                  <c:v>0</c:v>
                </c:pt>
                <c:pt idx="2">
                  <c:v>1</c:v>
                </c:pt>
                <c:pt idx="3">
                  <c:v>0</c:v>
                </c:pt>
                <c:pt idx="4">
                  <c:v>0</c:v>
                </c:pt>
                <c:pt idx="5">
                  <c:v>0</c:v>
                </c:pt>
                <c:pt idx="6">
                  <c:v>1</c:v>
                </c:pt>
                <c:pt idx="7">
                  <c:v>0</c:v>
                </c:pt>
                <c:pt idx="8">
                  <c:v>0</c:v>
                </c:pt>
                <c:pt idx="9">
                  <c:v>0</c:v>
                </c:pt>
                <c:pt idx="10">
                  <c:v>0</c:v>
                </c:pt>
                <c:pt idx="11">
                  <c:v>0</c:v>
                </c:pt>
                <c:pt idx="12">
                  <c:v>0</c:v>
                </c:pt>
              </c:numCache>
            </c:numRef>
          </c:val>
          <c:extLst>
            <c:ext xmlns:c16="http://schemas.microsoft.com/office/drawing/2014/chart" uri="{C3380CC4-5D6E-409C-BE32-E72D297353CC}">
              <c16:uniqueId val="{00000000-563A-45F5-95FB-F69D83A3F254}"/>
            </c:ext>
          </c:extLst>
        </c:ser>
        <c:dLbls>
          <c:showLegendKey val="0"/>
          <c:showVal val="0"/>
          <c:showCatName val="0"/>
          <c:showSerName val="0"/>
          <c:showPercent val="0"/>
          <c:showBubbleSize val="0"/>
        </c:dLbls>
        <c:gapWidth val="150"/>
        <c:axId val="87736951"/>
        <c:axId val="26590504"/>
      </c:barChart>
      <c:catAx>
        <c:axId val="87736951"/>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590504"/>
        <c:crosses val="autoZero"/>
        <c:auto val="1"/>
        <c:lblAlgn val="ctr"/>
        <c:lblOffset val="100"/>
        <c:noMultiLvlLbl val="0"/>
      </c:catAx>
      <c:valAx>
        <c:axId val="26590504"/>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Branch</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773695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Won Premium by Branch (GHS)</a:t>
            </a:r>
          </a:p>
        </c:rich>
      </c:tx>
      <c:overlay val="0"/>
      <c:spPr>
        <a:noFill/>
        <a:ln w="0">
          <a:noFill/>
        </a:ln>
      </c:spPr>
    </c:title>
    <c:autoTitleDeleted val="0"/>
    <c:plotArea>
      <c:layout/>
      <c:barChart>
        <c:barDir val="bar"/>
        <c:grouping val="clustered"/>
        <c:varyColors val="0"/>
        <c:ser>
          <c:idx val="0"/>
          <c:order val="0"/>
          <c:tx>
            <c:strRef>
              <c:f>Dashboard!$H$17</c:f>
              <c:strCache>
                <c:ptCount val="1"/>
                <c:pt idx="0">
                  <c:v>Won Premium (GHS)</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Dashboard!$A$18:$A$30</c:f>
              <c:strCache>
                <c:ptCount val="13"/>
                <c:pt idx="0">
                  <c:v>Accra Main</c:v>
                </c:pt>
                <c:pt idx="1">
                  <c:v>Tema</c:v>
                </c:pt>
                <c:pt idx="2">
                  <c:v>Kumasi</c:v>
                </c:pt>
                <c:pt idx="3">
                  <c:v>Obuasi</c:v>
                </c:pt>
                <c:pt idx="4">
                  <c:v>Takoradi</c:v>
                </c:pt>
                <c:pt idx="5">
                  <c:v>Tarkwa</c:v>
                </c:pt>
                <c:pt idx="6">
                  <c:v>Cape Coast</c:v>
                </c:pt>
                <c:pt idx="7">
                  <c:v>Koforidua</c:v>
                </c:pt>
                <c:pt idx="8">
                  <c:v>Sunyani</c:v>
                </c:pt>
                <c:pt idx="9">
                  <c:v>Techiman</c:v>
                </c:pt>
                <c:pt idx="10">
                  <c:v>Tamale</c:v>
                </c:pt>
                <c:pt idx="11">
                  <c:v>Ho</c:v>
                </c:pt>
                <c:pt idx="12">
                  <c:v>Wa</c:v>
                </c:pt>
              </c:strCache>
            </c:strRef>
          </c:cat>
          <c:val>
            <c:numRef>
              <c:f>Dashboard!$H$18:$H$30</c:f>
              <c:numCache>
                <c:formatCode>General</c:formatCode>
                <c:ptCount val="13"/>
                <c:pt idx="0">
                  <c:v>0</c:v>
                </c:pt>
                <c:pt idx="1">
                  <c:v>0</c:v>
                </c:pt>
                <c:pt idx="2">
                  <c:v>0</c:v>
                </c:pt>
                <c:pt idx="3">
                  <c:v>0</c:v>
                </c:pt>
                <c:pt idx="4">
                  <c:v>0</c:v>
                </c:pt>
                <c:pt idx="5">
                  <c:v>0</c:v>
                </c:pt>
                <c:pt idx="6">
                  <c:v>320000</c:v>
                </c:pt>
                <c:pt idx="7">
                  <c:v>0</c:v>
                </c:pt>
                <c:pt idx="8">
                  <c:v>0</c:v>
                </c:pt>
                <c:pt idx="9">
                  <c:v>0</c:v>
                </c:pt>
                <c:pt idx="10">
                  <c:v>0</c:v>
                </c:pt>
                <c:pt idx="11">
                  <c:v>0</c:v>
                </c:pt>
                <c:pt idx="12">
                  <c:v>0</c:v>
                </c:pt>
              </c:numCache>
            </c:numRef>
          </c:val>
          <c:extLst>
            <c:ext xmlns:c16="http://schemas.microsoft.com/office/drawing/2014/chart" uri="{C3380CC4-5D6E-409C-BE32-E72D297353CC}">
              <c16:uniqueId val="{00000000-0390-4A14-A970-09E00E3BD934}"/>
            </c:ext>
          </c:extLst>
        </c:ser>
        <c:dLbls>
          <c:showLegendKey val="0"/>
          <c:showVal val="0"/>
          <c:showCatName val="0"/>
          <c:showSerName val="0"/>
          <c:showPercent val="0"/>
          <c:showBubbleSize val="0"/>
        </c:dLbls>
        <c:gapWidth val="150"/>
        <c:axId val="59012063"/>
        <c:axId val="63919145"/>
      </c:barChart>
      <c:catAx>
        <c:axId val="59012063"/>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GHS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3919145"/>
        <c:crosses val="autoZero"/>
        <c:auto val="1"/>
        <c:lblAlgn val="ctr"/>
        <c:lblOffset val="100"/>
        <c:noMultiLvlLbl val="0"/>
      </c:catAx>
      <c:valAx>
        <c:axId val="63919145"/>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Branch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01206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52</xdr:row>
      <xdr:rowOff>0</xdr:rowOff>
    </xdr:from>
    <xdr:to>
      <xdr:col>4</xdr:col>
      <xdr:colOff>981720</xdr:colOff>
      <xdr:row>72</xdr:row>
      <xdr:rowOff>149760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52</xdr:row>
      <xdr:rowOff>0</xdr:rowOff>
    </xdr:from>
    <xdr:to>
      <xdr:col>12</xdr:col>
      <xdr:colOff>559080</xdr:colOff>
      <xdr:row>72</xdr:row>
      <xdr:rowOff>149760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hyperlink" Target="mailto:slartey@donewellinsurance.com" TargetMode="External"/><Relationship Id="rId3" Type="http://schemas.openxmlformats.org/officeDocument/2006/relationships/hyperlink" Target="mailto:slartey@donewellinsurance.com" TargetMode="External"/><Relationship Id="rId7" Type="http://schemas.openxmlformats.org/officeDocument/2006/relationships/hyperlink" Target="mailto:aborlu@donewellinsurance.com" TargetMode="External"/><Relationship Id="rId2" Type="http://schemas.openxmlformats.org/officeDocument/2006/relationships/hyperlink" Target="mailto:ysxampofo@donewellinsurance.com" TargetMode="External"/><Relationship Id="rId1" Type="http://schemas.openxmlformats.org/officeDocument/2006/relationships/hyperlink" Target="mailto:ekhammond@donewellinsurance.com" TargetMode="External"/><Relationship Id="rId6" Type="http://schemas.openxmlformats.org/officeDocument/2006/relationships/hyperlink" Target="mailto:ctetteh@donewellinsurance.com" TargetMode="External"/><Relationship Id="rId5" Type="http://schemas.openxmlformats.org/officeDocument/2006/relationships/hyperlink" Target="mailto:jblankson@donewellinsurance.com" TargetMode="External"/><Relationship Id="rId4" Type="http://schemas.openxmlformats.org/officeDocument/2006/relationships/hyperlink" Target="mailto:aborlu@donewellinsurance.com"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showGridLines="0" topLeftCell="A37" zoomScaleNormal="100" workbookViewId="0">
      <selection sqref="A1:B1"/>
    </sheetView>
  </sheetViews>
  <sheetFormatPr defaultColWidth="8.6640625" defaultRowHeight="14.4" x14ac:dyDescent="0.3"/>
  <cols>
    <col min="1" max="1" width="4" customWidth="1"/>
    <col min="2" max="2" width="110" customWidth="1"/>
  </cols>
  <sheetData>
    <row r="1" spans="1:2" ht="31.5" customHeight="1" x14ac:dyDescent="0.3">
      <c r="A1" s="12" t="s">
        <v>0</v>
      </c>
      <c r="B1" s="12"/>
    </row>
    <row r="2" spans="1:2" ht="21.75" customHeight="1" x14ac:dyDescent="0.3">
      <c r="A2" s="11" t="s">
        <v>1</v>
      </c>
      <c r="B2" s="11"/>
    </row>
    <row r="4" spans="1:2" ht="24" customHeight="1" x14ac:dyDescent="0.3">
      <c r="A4" s="10" t="s">
        <v>2</v>
      </c>
      <c r="B4" s="10"/>
    </row>
    <row r="5" spans="1:2" ht="30" customHeight="1" x14ac:dyDescent="0.3">
      <c r="B5" s="13" t="s">
        <v>3</v>
      </c>
    </row>
    <row r="7" spans="1:2" ht="24" customHeight="1" x14ac:dyDescent="0.3">
      <c r="A7" s="10" t="s">
        <v>4</v>
      </c>
      <c r="B7" s="10"/>
    </row>
    <row r="8" spans="1:2" ht="139.5" customHeight="1" x14ac:dyDescent="0.3">
      <c r="B8" s="13" t="s">
        <v>5</v>
      </c>
    </row>
    <row r="10" spans="1:2" ht="24" customHeight="1" x14ac:dyDescent="0.3">
      <c r="A10" s="10" t="s">
        <v>6</v>
      </c>
      <c r="B10" s="10"/>
    </row>
    <row r="11" spans="1:2" ht="99.75" customHeight="1" x14ac:dyDescent="0.3">
      <c r="B11" s="13" t="s">
        <v>7</v>
      </c>
    </row>
    <row r="13" spans="1:2" ht="24" customHeight="1" x14ac:dyDescent="0.3">
      <c r="A13" s="10" t="s">
        <v>8</v>
      </c>
      <c r="B13" s="10"/>
    </row>
    <row r="14" spans="1:2" ht="120" customHeight="1" x14ac:dyDescent="0.3">
      <c r="B14" s="13" t="s">
        <v>9</v>
      </c>
    </row>
    <row r="16" spans="1:2" ht="24" customHeight="1" x14ac:dyDescent="0.3">
      <c r="A16" s="10" t="s">
        <v>10</v>
      </c>
      <c r="B16" s="10"/>
    </row>
    <row r="17" spans="1:2" ht="30" customHeight="1" x14ac:dyDescent="0.3">
      <c r="B17" s="13" t="s">
        <v>11</v>
      </c>
    </row>
    <row r="19" spans="1:2" ht="24" customHeight="1" x14ac:dyDescent="0.3">
      <c r="A19" s="10" t="s">
        <v>12</v>
      </c>
      <c r="B19" s="10"/>
    </row>
    <row r="20" spans="1:2" ht="30" customHeight="1" x14ac:dyDescent="0.3">
      <c r="B20" s="13" t="s">
        <v>13</v>
      </c>
    </row>
    <row r="22" spans="1:2" ht="24" customHeight="1" x14ac:dyDescent="0.3">
      <c r="A22" s="10" t="s">
        <v>14</v>
      </c>
      <c r="B22" s="10"/>
    </row>
    <row r="23" spans="1:2" ht="159.75" customHeight="1" x14ac:dyDescent="0.3">
      <c r="B23" s="13" t="s">
        <v>15</v>
      </c>
    </row>
  </sheetData>
  <mergeCells count="9">
    <mergeCell ref="A13:B13"/>
    <mergeCell ref="A16:B16"/>
    <mergeCell ref="A19:B19"/>
    <mergeCell ref="A22:B22"/>
    <mergeCell ref="A1:B1"/>
    <mergeCell ref="A2:B2"/>
    <mergeCell ref="A4:B4"/>
    <mergeCell ref="A7:B7"/>
    <mergeCell ref="A10:B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09"/>
  <sheetViews>
    <sheetView showGridLines="0" zoomScaleNormal="100" workbookViewId="0">
      <pane xSplit="2" ySplit="9" topLeftCell="C10" activePane="bottomRight" state="frozen"/>
      <selection pane="topRight" activeCell="C1" sqref="C1"/>
      <selection pane="bottomLeft" activeCell="A10" sqref="A10"/>
      <selection pane="bottomRight" sqref="A1:R1"/>
    </sheetView>
  </sheetViews>
  <sheetFormatPr defaultColWidth="8.6640625" defaultRowHeight="14.4" x14ac:dyDescent="0.3"/>
  <cols>
    <col min="1" max="1" width="11" customWidth="1"/>
    <col min="2" max="2" width="16" customWidth="1"/>
    <col min="3" max="3" width="18" customWidth="1"/>
    <col min="4" max="4" width="32" customWidth="1"/>
    <col min="5" max="6" width="18" customWidth="1"/>
    <col min="7" max="7" width="22" customWidth="1"/>
    <col min="8" max="8" width="20" customWidth="1"/>
    <col min="9" max="9" width="18" customWidth="1"/>
    <col min="10" max="10" width="14" customWidth="1"/>
    <col min="11" max="11" width="22" customWidth="1"/>
    <col min="12" max="13" width="16" customWidth="1"/>
    <col min="14" max="14" width="28" customWidth="1"/>
    <col min="15" max="15" width="13" customWidth="1"/>
    <col min="16" max="16" width="14" customWidth="1"/>
    <col min="17" max="17" width="11" customWidth="1"/>
    <col min="18" max="18" width="36" customWidth="1"/>
  </cols>
  <sheetData>
    <row r="1" spans="1:18" ht="31.5" customHeight="1" x14ac:dyDescent="0.3">
      <c r="A1" s="12" t="s">
        <v>16</v>
      </c>
      <c r="B1" s="12"/>
      <c r="C1" s="12"/>
      <c r="D1" s="12"/>
      <c r="E1" s="12"/>
      <c r="F1" s="12"/>
      <c r="G1" s="12"/>
      <c r="H1" s="12"/>
      <c r="I1" s="12"/>
      <c r="J1" s="12"/>
      <c r="K1" s="12"/>
      <c r="L1" s="12"/>
      <c r="M1" s="12"/>
      <c r="N1" s="12"/>
      <c r="O1" s="12"/>
      <c r="P1" s="12"/>
      <c r="Q1" s="12"/>
      <c r="R1" s="12"/>
    </row>
    <row r="2" spans="1:18" ht="21.75" customHeight="1" x14ac:dyDescent="0.3">
      <c r="A2" s="11" t="s">
        <v>17</v>
      </c>
      <c r="B2" s="11"/>
      <c r="C2" s="11"/>
      <c r="D2" s="11"/>
      <c r="E2" s="11"/>
      <c r="F2" s="11"/>
      <c r="G2" s="11"/>
      <c r="H2" s="11"/>
      <c r="I2" s="11"/>
      <c r="J2" s="11"/>
      <c r="K2" s="11"/>
      <c r="L2" s="11"/>
      <c r="M2" s="11"/>
      <c r="N2" s="11"/>
      <c r="O2" s="11"/>
      <c r="P2" s="11"/>
      <c r="Q2" s="11"/>
      <c r="R2" s="11"/>
    </row>
    <row r="4" spans="1:18" x14ac:dyDescent="0.3">
      <c r="A4" s="14" t="s">
        <v>18</v>
      </c>
      <c r="B4" s="15" t="s">
        <v>19</v>
      </c>
      <c r="C4" s="16" t="s">
        <v>20</v>
      </c>
      <c r="D4" s="17" t="s">
        <v>21</v>
      </c>
      <c r="E4" s="14" t="s">
        <v>22</v>
      </c>
      <c r="F4" s="15" t="s">
        <v>23</v>
      </c>
      <c r="G4" s="14" t="s">
        <v>24</v>
      </c>
      <c r="H4" s="18" t="s">
        <v>25</v>
      </c>
    </row>
    <row r="5" spans="1:18" ht="18" x14ac:dyDescent="0.35">
      <c r="A5" s="19">
        <f>COUNTA(B10:B509)</f>
        <v>3</v>
      </c>
      <c r="B5" s="20">
        <f>COUNTIF(P10:P509,"Open")+COUNTIF(P10:P509,"In Progress")</f>
        <v>1</v>
      </c>
      <c r="C5" s="21">
        <f>COUNTIF(P10:P509,"Won")</f>
        <v>2</v>
      </c>
      <c r="D5" s="22">
        <f>SUMIFS(L10:L509,P10:P509,"&lt;&gt;Lost",P10:P509,"&lt;&gt;Closed")</f>
        <v>430000</v>
      </c>
      <c r="E5" s="23">
        <f>SUMIFS(M10:M509,P10:P509,"Won")</f>
        <v>320000</v>
      </c>
      <c r="F5" s="24">
        <f>IFERROR(COUNTIF(P10:P509,"Won")/(COUNTIF(P10:P509,"Won")+COUNTIF(P10:P509,"Lost")),0)</f>
        <v>1</v>
      </c>
      <c r="G5" s="19">
        <f ca="1">SUMPRODUCT((MONTH(A10:A509)=MONTH(TODAY()))*(YEAR(A10:A509)=YEAR(TODAY()))*(A10:A509&lt;&gt;""))</f>
        <v>2</v>
      </c>
      <c r="H5" s="25">
        <f ca="1">SUMPRODUCT((O10:O509&lt;TODAY())*(O10:O509&lt;&gt;"")*(P10:P509&lt;&gt;"Won")*(P10:P509&lt;&gt;"Lost")*(P10:P509&lt;&gt;"Closed"))</f>
        <v>0</v>
      </c>
    </row>
    <row r="8" spans="1:18" ht="7.5" customHeight="1" x14ac:dyDescent="0.3">
      <c r="A8" s="26"/>
      <c r="B8" s="26"/>
      <c r="C8" s="26"/>
      <c r="D8" s="26"/>
      <c r="E8" s="26"/>
      <c r="F8" s="26"/>
      <c r="G8" s="26"/>
      <c r="H8" s="26"/>
      <c r="I8" s="26"/>
      <c r="J8" s="26"/>
      <c r="K8" s="26"/>
      <c r="L8" s="26"/>
      <c r="M8" s="26"/>
      <c r="N8" s="26"/>
      <c r="O8" s="26"/>
      <c r="P8" s="26"/>
      <c r="Q8" s="26"/>
      <c r="R8" s="26"/>
    </row>
    <row r="9" spans="1:18" ht="31.5" customHeight="1" x14ac:dyDescent="0.3">
      <c r="A9" s="27" t="s">
        <v>26</v>
      </c>
      <c r="B9" s="27" t="s">
        <v>27</v>
      </c>
      <c r="C9" s="27" t="s">
        <v>28</v>
      </c>
      <c r="D9" s="27" t="s">
        <v>29</v>
      </c>
      <c r="E9" s="27" t="s">
        <v>30</v>
      </c>
      <c r="F9" s="27" t="s">
        <v>31</v>
      </c>
      <c r="G9" s="27" t="s">
        <v>32</v>
      </c>
      <c r="H9" s="27" t="s">
        <v>33</v>
      </c>
      <c r="I9" s="27" t="s">
        <v>34</v>
      </c>
      <c r="J9" s="27" t="s">
        <v>35</v>
      </c>
      <c r="K9" s="27" t="s">
        <v>36</v>
      </c>
      <c r="L9" s="27" t="s">
        <v>21</v>
      </c>
      <c r="M9" s="27" t="s">
        <v>22</v>
      </c>
      <c r="N9" s="27" t="s">
        <v>37</v>
      </c>
      <c r="O9" s="27" t="s">
        <v>38</v>
      </c>
      <c r="P9" s="27" t="s">
        <v>39</v>
      </c>
      <c r="Q9" s="27" t="s">
        <v>40</v>
      </c>
      <c r="R9" s="27" t="s">
        <v>41</v>
      </c>
    </row>
    <row r="10" spans="1:18" ht="41.4" x14ac:dyDescent="0.3">
      <c r="A10" s="28">
        <f ca="1">TODAY()-30</f>
        <v>46166</v>
      </c>
      <c r="B10" s="29" t="s">
        <v>42</v>
      </c>
      <c r="C10" s="29" t="s">
        <v>43</v>
      </c>
      <c r="D10" s="29" t="s">
        <v>44</v>
      </c>
      <c r="E10" s="29" t="s">
        <v>45</v>
      </c>
      <c r="F10" s="29" t="s">
        <v>46</v>
      </c>
      <c r="G10" s="29" t="s">
        <v>47</v>
      </c>
      <c r="H10" s="29" t="s">
        <v>48</v>
      </c>
      <c r="I10" s="29" t="s">
        <v>49</v>
      </c>
      <c r="J10" s="29" t="s">
        <v>50</v>
      </c>
      <c r="K10" s="29" t="s">
        <v>51</v>
      </c>
      <c r="L10" s="30">
        <v>250000</v>
      </c>
      <c r="M10" s="30">
        <v>0</v>
      </c>
      <c r="N10" s="29" t="s">
        <v>52</v>
      </c>
      <c r="O10" s="28">
        <f ca="1">TODAY()-15</f>
        <v>46181</v>
      </c>
      <c r="P10" s="29" t="s">
        <v>20</v>
      </c>
      <c r="Q10" s="29" t="s">
        <v>53</v>
      </c>
      <c r="R10" s="31" t="s">
        <v>54</v>
      </c>
    </row>
    <row r="11" spans="1:18" ht="41.4" x14ac:dyDescent="0.3">
      <c r="A11" s="32">
        <f ca="1">TODAY()-20</f>
        <v>46176</v>
      </c>
      <c r="B11" s="33" t="s">
        <v>55</v>
      </c>
      <c r="C11" s="33" t="s">
        <v>43</v>
      </c>
      <c r="D11" s="33" t="s">
        <v>56</v>
      </c>
      <c r="E11" s="33" t="s">
        <v>57</v>
      </c>
      <c r="F11" s="33" t="s">
        <v>58</v>
      </c>
      <c r="G11" s="33" t="s">
        <v>59</v>
      </c>
      <c r="H11" s="33" t="s">
        <v>60</v>
      </c>
      <c r="I11" s="33" t="s">
        <v>61</v>
      </c>
      <c r="J11" s="33" t="s">
        <v>50</v>
      </c>
      <c r="K11" s="33" t="s">
        <v>62</v>
      </c>
      <c r="L11" s="34">
        <v>180000</v>
      </c>
      <c r="M11" s="34">
        <v>0</v>
      </c>
      <c r="N11" s="33" t="s">
        <v>63</v>
      </c>
      <c r="O11" s="32">
        <f ca="1">TODAY()+5</f>
        <v>46201</v>
      </c>
      <c r="P11" s="33" t="s">
        <v>64</v>
      </c>
      <c r="Q11" s="33" t="s">
        <v>53</v>
      </c>
      <c r="R11" s="35" t="s">
        <v>65</v>
      </c>
    </row>
    <row r="12" spans="1:18" ht="27.6" x14ac:dyDescent="0.3">
      <c r="A12" s="28">
        <f ca="1">TODAY()-10</f>
        <v>46186</v>
      </c>
      <c r="B12" s="29" t="s">
        <v>66</v>
      </c>
      <c r="C12" s="29" t="s">
        <v>43</v>
      </c>
      <c r="D12" s="29" t="s">
        <v>67</v>
      </c>
      <c r="E12" s="29" t="s">
        <v>45</v>
      </c>
      <c r="F12" s="29" t="s">
        <v>68</v>
      </c>
      <c r="G12" s="29" t="s">
        <v>69</v>
      </c>
      <c r="H12" s="29" t="s">
        <v>70</v>
      </c>
      <c r="I12" s="29" t="s">
        <v>71</v>
      </c>
      <c r="J12" s="29" t="s">
        <v>50</v>
      </c>
      <c r="K12" s="29" t="s">
        <v>72</v>
      </c>
      <c r="L12" s="30">
        <v>0</v>
      </c>
      <c r="M12" s="30">
        <v>320000</v>
      </c>
      <c r="N12" s="29" t="s">
        <v>73</v>
      </c>
      <c r="O12" s="28">
        <f ca="1">TODAY()+90</f>
        <v>46286</v>
      </c>
      <c r="P12" s="29" t="s">
        <v>20</v>
      </c>
      <c r="Q12" s="29" t="s">
        <v>74</v>
      </c>
      <c r="R12" s="31" t="s">
        <v>75</v>
      </c>
    </row>
    <row r="13" spans="1:18" x14ac:dyDescent="0.3">
      <c r="A13" s="32"/>
      <c r="B13" s="33"/>
      <c r="C13" s="33"/>
      <c r="D13" s="33"/>
      <c r="E13" s="33"/>
      <c r="F13" s="33"/>
      <c r="G13" s="33"/>
      <c r="H13" s="33"/>
      <c r="I13" s="33"/>
      <c r="J13" s="33"/>
      <c r="K13" s="33"/>
      <c r="L13" s="34"/>
      <c r="M13" s="34"/>
      <c r="N13" s="33"/>
      <c r="O13" s="32"/>
      <c r="P13" s="33"/>
      <c r="Q13" s="33"/>
      <c r="R13" s="35"/>
    </row>
    <row r="14" spans="1:18" x14ac:dyDescent="0.3">
      <c r="A14" s="28"/>
      <c r="B14" s="29"/>
      <c r="C14" s="29"/>
      <c r="D14" s="29"/>
      <c r="E14" s="29"/>
      <c r="F14" s="29"/>
      <c r="G14" s="29"/>
      <c r="H14" s="29"/>
      <c r="I14" s="29"/>
      <c r="J14" s="29"/>
      <c r="K14" s="29"/>
      <c r="L14" s="30"/>
      <c r="M14" s="30"/>
      <c r="N14" s="29"/>
      <c r="O14" s="28"/>
      <c r="P14" s="29"/>
      <c r="Q14" s="29"/>
      <c r="R14" s="31"/>
    </row>
    <row r="15" spans="1:18" x14ac:dyDescent="0.3">
      <c r="A15" s="32"/>
      <c r="B15" s="33"/>
      <c r="C15" s="33"/>
      <c r="D15" s="33"/>
      <c r="E15" s="33"/>
      <c r="F15" s="33"/>
      <c r="G15" s="33"/>
      <c r="H15" s="33"/>
      <c r="I15" s="33"/>
      <c r="J15" s="33"/>
      <c r="K15" s="33"/>
      <c r="L15" s="34"/>
      <c r="M15" s="34"/>
      <c r="N15" s="33"/>
      <c r="O15" s="32"/>
      <c r="P15" s="33"/>
      <c r="Q15" s="33"/>
      <c r="R15" s="35"/>
    </row>
    <row r="16" spans="1:18" x14ac:dyDescent="0.3">
      <c r="A16" s="28"/>
      <c r="B16" s="29"/>
      <c r="C16" s="29"/>
      <c r="D16" s="29"/>
      <c r="E16" s="29"/>
      <c r="F16" s="29"/>
      <c r="G16" s="29"/>
      <c r="H16" s="29"/>
      <c r="I16" s="29"/>
      <c r="J16" s="29"/>
      <c r="K16" s="29"/>
      <c r="L16" s="30"/>
      <c r="M16" s="30"/>
      <c r="N16" s="29"/>
      <c r="O16" s="28"/>
      <c r="P16" s="29"/>
      <c r="Q16" s="29"/>
      <c r="R16" s="31"/>
    </row>
    <row r="17" spans="1:18" x14ac:dyDescent="0.3">
      <c r="A17" s="32"/>
      <c r="B17" s="33"/>
      <c r="C17" s="33"/>
      <c r="D17" s="33"/>
      <c r="E17" s="33"/>
      <c r="F17" s="33"/>
      <c r="G17" s="33"/>
      <c r="H17" s="33"/>
      <c r="I17" s="33"/>
      <c r="J17" s="33"/>
      <c r="K17" s="33"/>
      <c r="L17" s="34"/>
      <c r="M17" s="34"/>
      <c r="N17" s="33"/>
      <c r="O17" s="32"/>
      <c r="P17" s="33"/>
      <c r="Q17" s="33"/>
      <c r="R17" s="35"/>
    </row>
    <row r="18" spans="1:18" x14ac:dyDescent="0.3">
      <c r="A18" s="28"/>
      <c r="B18" s="29"/>
      <c r="C18" s="29"/>
      <c r="D18" s="29"/>
      <c r="E18" s="29"/>
      <c r="F18" s="29"/>
      <c r="G18" s="29"/>
      <c r="H18" s="29"/>
      <c r="I18" s="29"/>
      <c r="J18" s="29"/>
      <c r="K18" s="29"/>
      <c r="L18" s="30"/>
      <c r="M18" s="30"/>
      <c r="N18" s="29"/>
      <c r="O18" s="28"/>
      <c r="P18" s="29"/>
      <c r="Q18" s="29"/>
      <c r="R18" s="31"/>
    </row>
    <row r="19" spans="1:18" x14ac:dyDescent="0.3">
      <c r="A19" s="32"/>
      <c r="B19" s="33"/>
      <c r="C19" s="33"/>
      <c r="D19" s="33"/>
      <c r="E19" s="33"/>
      <c r="F19" s="33"/>
      <c r="G19" s="33"/>
      <c r="H19" s="33"/>
      <c r="I19" s="33"/>
      <c r="J19" s="33"/>
      <c r="K19" s="33"/>
      <c r="L19" s="34"/>
      <c r="M19" s="34"/>
      <c r="N19" s="33"/>
      <c r="O19" s="32"/>
      <c r="P19" s="33"/>
      <c r="Q19" s="33"/>
      <c r="R19" s="35"/>
    </row>
    <row r="20" spans="1:18" x14ac:dyDescent="0.3">
      <c r="A20" s="28"/>
      <c r="B20" s="29"/>
      <c r="C20" s="29"/>
      <c r="D20" s="29"/>
      <c r="E20" s="29"/>
      <c r="F20" s="29"/>
      <c r="G20" s="29"/>
      <c r="H20" s="29"/>
      <c r="I20" s="29"/>
      <c r="J20" s="29"/>
      <c r="K20" s="29"/>
      <c r="L20" s="30"/>
      <c r="M20" s="30"/>
      <c r="N20" s="29"/>
      <c r="O20" s="28"/>
      <c r="P20" s="29"/>
      <c r="Q20" s="29"/>
      <c r="R20" s="31"/>
    </row>
    <row r="21" spans="1:18" x14ac:dyDescent="0.3">
      <c r="A21" s="32"/>
      <c r="B21" s="33"/>
      <c r="C21" s="33"/>
      <c r="D21" s="33"/>
      <c r="E21" s="33"/>
      <c r="F21" s="33"/>
      <c r="G21" s="33"/>
      <c r="H21" s="33"/>
      <c r="I21" s="33"/>
      <c r="J21" s="33"/>
      <c r="K21" s="33"/>
      <c r="L21" s="34"/>
      <c r="M21" s="34"/>
      <c r="N21" s="33"/>
      <c r="O21" s="32"/>
      <c r="P21" s="33"/>
      <c r="Q21" s="33"/>
      <c r="R21" s="35"/>
    </row>
    <row r="22" spans="1:18" x14ac:dyDescent="0.3">
      <c r="A22" s="28"/>
      <c r="B22" s="29"/>
      <c r="C22" s="29"/>
      <c r="D22" s="29"/>
      <c r="E22" s="29"/>
      <c r="F22" s="29"/>
      <c r="G22" s="29"/>
      <c r="H22" s="29"/>
      <c r="I22" s="29"/>
      <c r="J22" s="29"/>
      <c r="K22" s="29"/>
      <c r="L22" s="30"/>
      <c r="M22" s="30"/>
      <c r="N22" s="29"/>
      <c r="O22" s="28"/>
      <c r="P22" s="29"/>
      <c r="Q22" s="29"/>
      <c r="R22" s="31"/>
    </row>
    <row r="23" spans="1:18" x14ac:dyDescent="0.3">
      <c r="A23" s="32"/>
      <c r="B23" s="33"/>
      <c r="C23" s="33"/>
      <c r="D23" s="33"/>
      <c r="E23" s="33"/>
      <c r="F23" s="33"/>
      <c r="G23" s="33"/>
      <c r="H23" s="33"/>
      <c r="I23" s="33"/>
      <c r="J23" s="33"/>
      <c r="K23" s="33"/>
      <c r="L23" s="34"/>
      <c r="M23" s="34"/>
      <c r="N23" s="33"/>
      <c r="O23" s="32"/>
      <c r="P23" s="33"/>
      <c r="Q23" s="33"/>
      <c r="R23" s="35"/>
    </row>
    <row r="24" spans="1:18" x14ac:dyDescent="0.3">
      <c r="A24" s="28"/>
      <c r="B24" s="29"/>
      <c r="C24" s="29"/>
      <c r="D24" s="29"/>
      <c r="E24" s="29"/>
      <c r="F24" s="29"/>
      <c r="G24" s="29"/>
      <c r="H24" s="29"/>
      <c r="I24" s="29"/>
      <c r="J24" s="29"/>
      <c r="K24" s="29"/>
      <c r="L24" s="30"/>
      <c r="M24" s="30"/>
      <c r="N24" s="29"/>
      <c r="O24" s="28"/>
      <c r="P24" s="29"/>
      <c r="Q24" s="29"/>
      <c r="R24" s="31"/>
    </row>
    <row r="25" spans="1:18" x14ac:dyDescent="0.3">
      <c r="A25" s="32"/>
      <c r="B25" s="33"/>
      <c r="C25" s="33"/>
      <c r="D25" s="33"/>
      <c r="E25" s="33"/>
      <c r="F25" s="33"/>
      <c r="G25" s="33"/>
      <c r="H25" s="33"/>
      <c r="I25" s="33"/>
      <c r="J25" s="33"/>
      <c r="K25" s="33"/>
      <c r="L25" s="34"/>
      <c r="M25" s="34"/>
      <c r="N25" s="33"/>
      <c r="O25" s="32"/>
      <c r="P25" s="33"/>
      <c r="Q25" s="33"/>
      <c r="R25" s="35"/>
    </row>
    <row r="26" spans="1:18" x14ac:dyDescent="0.3">
      <c r="A26" s="28"/>
      <c r="B26" s="29"/>
      <c r="C26" s="29"/>
      <c r="D26" s="29"/>
      <c r="E26" s="29"/>
      <c r="F26" s="29"/>
      <c r="G26" s="29"/>
      <c r="H26" s="29"/>
      <c r="I26" s="29"/>
      <c r="J26" s="29"/>
      <c r="K26" s="29"/>
      <c r="L26" s="30"/>
      <c r="M26" s="30"/>
      <c r="N26" s="29"/>
      <c r="O26" s="28"/>
      <c r="P26" s="29"/>
      <c r="Q26" s="29"/>
      <c r="R26" s="31"/>
    </row>
    <row r="27" spans="1:18" x14ac:dyDescent="0.3">
      <c r="A27" s="32"/>
      <c r="B27" s="33"/>
      <c r="C27" s="33"/>
      <c r="D27" s="33"/>
      <c r="E27" s="33"/>
      <c r="F27" s="33"/>
      <c r="G27" s="33"/>
      <c r="H27" s="33"/>
      <c r="I27" s="33"/>
      <c r="J27" s="33"/>
      <c r="K27" s="33"/>
      <c r="L27" s="34"/>
      <c r="M27" s="34"/>
      <c r="N27" s="33"/>
      <c r="O27" s="32"/>
      <c r="P27" s="33"/>
      <c r="Q27" s="33"/>
      <c r="R27" s="35"/>
    </row>
    <row r="28" spans="1:18" x14ac:dyDescent="0.3">
      <c r="A28" s="28"/>
      <c r="B28" s="29"/>
      <c r="C28" s="29"/>
      <c r="D28" s="29"/>
      <c r="E28" s="29"/>
      <c r="F28" s="29"/>
      <c r="G28" s="29"/>
      <c r="H28" s="29"/>
      <c r="I28" s="29"/>
      <c r="J28" s="29"/>
      <c r="K28" s="29"/>
      <c r="L28" s="30"/>
      <c r="M28" s="30"/>
      <c r="N28" s="29"/>
      <c r="O28" s="28"/>
      <c r="P28" s="29"/>
      <c r="Q28" s="29"/>
      <c r="R28" s="31"/>
    </row>
    <row r="29" spans="1:18" x14ac:dyDescent="0.3">
      <c r="A29" s="32"/>
      <c r="B29" s="33"/>
      <c r="C29" s="33"/>
      <c r="D29" s="33"/>
      <c r="E29" s="33"/>
      <c r="F29" s="33"/>
      <c r="G29" s="33"/>
      <c r="H29" s="33"/>
      <c r="I29" s="33"/>
      <c r="J29" s="33"/>
      <c r="K29" s="33"/>
      <c r="L29" s="34"/>
      <c r="M29" s="34"/>
      <c r="N29" s="33"/>
      <c r="O29" s="32"/>
      <c r="P29" s="33"/>
      <c r="Q29" s="33"/>
      <c r="R29" s="35"/>
    </row>
    <row r="30" spans="1:18" x14ac:dyDescent="0.3">
      <c r="A30" s="28"/>
      <c r="B30" s="29"/>
      <c r="C30" s="29"/>
      <c r="D30" s="29"/>
      <c r="E30" s="29"/>
      <c r="F30" s="29"/>
      <c r="G30" s="29"/>
      <c r="H30" s="29"/>
      <c r="I30" s="29"/>
      <c r="J30" s="29"/>
      <c r="K30" s="29"/>
      <c r="L30" s="30"/>
      <c r="M30" s="30"/>
      <c r="N30" s="29"/>
      <c r="O30" s="28"/>
      <c r="P30" s="29"/>
      <c r="Q30" s="29"/>
      <c r="R30" s="31"/>
    </row>
    <row r="31" spans="1:18" x14ac:dyDescent="0.3">
      <c r="A31" s="32"/>
      <c r="B31" s="33"/>
      <c r="C31" s="33"/>
      <c r="D31" s="33"/>
      <c r="E31" s="33"/>
      <c r="F31" s="33"/>
      <c r="G31" s="33"/>
      <c r="H31" s="33"/>
      <c r="I31" s="33"/>
      <c r="J31" s="33"/>
      <c r="K31" s="33"/>
      <c r="L31" s="34"/>
      <c r="M31" s="34"/>
      <c r="N31" s="33"/>
      <c r="O31" s="32"/>
      <c r="P31" s="33"/>
      <c r="Q31" s="33"/>
      <c r="R31" s="35"/>
    </row>
    <row r="32" spans="1:18" x14ac:dyDescent="0.3">
      <c r="A32" s="28"/>
      <c r="B32" s="29"/>
      <c r="C32" s="29"/>
      <c r="D32" s="29"/>
      <c r="E32" s="29"/>
      <c r="F32" s="29"/>
      <c r="G32" s="29"/>
      <c r="H32" s="29"/>
      <c r="I32" s="29"/>
      <c r="J32" s="29"/>
      <c r="K32" s="29"/>
      <c r="L32" s="30"/>
      <c r="M32" s="30"/>
      <c r="N32" s="29"/>
      <c r="O32" s="28"/>
      <c r="P32" s="29"/>
      <c r="Q32" s="29"/>
      <c r="R32" s="31"/>
    </row>
    <row r="33" spans="1:18" x14ac:dyDescent="0.3">
      <c r="A33" s="32"/>
      <c r="B33" s="33"/>
      <c r="C33" s="33"/>
      <c r="D33" s="33"/>
      <c r="E33" s="33"/>
      <c r="F33" s="33"/>
      <c r="G33" s="33"/>
      <c r="H33" s="33"/>
      <c r="I33" s="33"/>
      <c r="J33" s="33"/>
      <c r="K33" s="33"/>
      <c r="L33" s="34"/>
      <c r="M33" s="34"/>
      <c r="N33" s="33"/>
      <c r="O33" s="32"/>
      <c r="P33" s="33"/>
      <c r="Q33" s="33"/>
      <c r="R33" s="35"/>
    </row>
    <row r="34" spans="1:18" x14ac:dyDescent="0.3">
      <c r="A34" s="28"/>
      <c r="B34" s="29"/>
      <c r="C34" s="29"/>
      <c r="D34" s="29"/>
      <c r="E34" s="29"/>
      <c r="F34" s="29"/>
      <c r="G34" s="29"/>
      <c r="H34" s="29"/>
      <c r="I34" s="29"/>
      <c r="J34" s="29"/>
      <c r="K34" s="29"/>
      <c r="L34" s="30"/>
      <c r="M34" s="30"/>
      <c r="N34" s="29"/>
      <c r="O34" s="28"/>
      <c r="P34" s="29"/>
      <c r="Q34" s="29"/>
      <c r="R34" s="31"/>
    </row>
    <row r="35" spans="1:18" x14ac:dyDescent="0.3">
      <c r="A35" s="32"/>
      <c r="B35" s="33"/>
      <c r="C35" s="33"/>
      <c r="D35" s="33"/>
      <c r="E35" s="33"/>
      <c r="F35" s="33"/>
      <c r="G35" s="33"/>
      <c r="H35" s="33"/>
      <c r="I35" s="33"/>
      <c r="J35" s="33"/>
      <c r="K35" s="33"/>
      <c r="L35" s="34"/>
      <c r="M35" s="34"/>
      <c r="N35" s="33"/>
      <c r="O35" s="32"/>
      <c r="P35" s="33"/>
      <c r="Q35" s="33"/>
      <c r="R35" s="35"/>
    </row>
    <row r="36" spans="1:18" x14ac:dyDescent="0.3">
      <c r="A36" s="28"/>
      <c r="B36" s="29"/>
      <c r="C36" s="29"/>
      <c r="D36" s="29"/>
      <c r="E36" s="29"/>
      <c r="F36" s="29"/>
      <c r="G36" s="29"/>
      <c r="H36" s="29"/>
      <c r="I36" s="29"/>
      <c r="J36" s="29"/>
      <c r="K36" s="29"/>
      <c r="L36" s="30"/>
      <c r="M36" s="30"/>
      <c r="N36" s="29"/>
      <c r="O36" s="28"/>
      <c r="P36" s="29"/>
      <c r="Q36" s="29"/>
      <c r="R36" s="31"/>
    </row>
    <row r="37" spans="1:18" x14ac:dyDescent="0.3">
      <c r="A37" s="32"/>
      <c r="B37" s="33"/>
      <c r="C37" s="33"/>
      <c r="D37" s="33"/>
      <c r="E37" s="33"/>
      <c r="F37" s="33"/>
      <c r="G37" s="33"/>
      <c r="H37" s="33"/>
      <c r="I37" s="33"/>
      <c r="J37" s="33"/>
      <c r="K37" s="33"/>
      <c r="L37" s="34"/>
      <c r="M37" s="34"/>
      <c r="N37" s="33"/>
      <c r="O37" s="32"/>
      <c r="P37" s="33"/>
      <c r="Q37" s="33"/>
      <c r="R37" s="35"/>
    </row>
    <row r="38" spans="1:18" x14ac:dyDescent="0.3">
      <c r="A38" s="28"/>
      <c r="B38" s="29"/>
      <c r="C38" s="29"/>
      <c r="D38" s="29"/>
      <c r="E38" s="29"/>
      <c r="F38" s="29"/>
      <c r="G38" s="29"/>
      <c r="H38" s="29"/>
      <c r="I38" s="29"/>
      <c r="J38" s="29"/>
      <c r="K38" s="29"/>
      <c r="L38" s="30"/>
      <c r="M38" s="30"/>
      <c r="N38" s="29"/>
      <c r="O38" s="28"/>
      <c r="P38" s="29"/>
      <c r="Q38" s="29"/>
      <c r="R38" s="31"/>
    </row>
    <row r="39" spans="1:18" x14ac:dyDescent="0.3">
      <c r="A39" s="32"/>
      <c r="B39" s="33"/>
      <c r="C39" s="33"/>
      <c r="D39" s="33"/>
      <c r="E39" s="33"/>
      <c r="F39" s="33"/>
      <c r="G39" s="33"/>
      <c r="H39" s="33"/>
      <c r="I39" s="33"/>
      <c r="J39" s="33"/>
      <c r="K39" s="33"/>
      <c r="L39" s="34"/>
      <c r="M39" s="34"/>
      <c r="N39" s="33"/>
      <c r="O39" s="32"/>
      <c r="P39" s="33"/>
      <c r="Q39" s="33"/>
      <c r="R39" s="35"/>
    </row>
    <row r="40" spans="1:18" x14ac:dyDescent="0.3">
      <c r="A40" s="28"/>
      <c r="B40" s="29"/>
      <c r="C40" s="29"/>
      <c r="D40" s="29"/>
      <c r="E40" s="29"/>
      <c r="F40" s="29"/>
      <c r="G40" s="29"/>
      <c r="H40" s="29"/>
      <c r="I40" s="29"/>
      <c r="J40" s="29"/>
      <c r="K40" s="29"/>
      <c r="L40" s="30"/>
      <c r="M40" s="30"/>
      <c r="N40" s="29"/>
      <c r="O40" s="28"/>
      <c r="P40" s="29"/>
      <c r="Q40" s="29"/>
      <c r="R40" s="31"/>
    </row>
    <row r="41" spans="1:18" x14ac:dyDescent="0.3">
      <c r="A41" s="32"/>
      <c r="B41" s="33"/>
      <c r="C41" s="33"/>
      <c r="D41" s="33"/>
      <c r="E41" s="33"/>
      <c r="F41" s="33"/>
      <c r="G41" s="33"/>
      <c r="H41" s="33"/>
      <c r="I41" s="33"/>
      <c r="J41" s="33"/>
      <c r="K41" s="33"/>
      <c r="L41" s="34"/>
      <c r="M41" s="34"/>
      <c r="N41" s="33"/>
      <c r="O41" s="32"/>
      <c r="P41" s="33"/>
      <c r="Q41" s="33"/>
      <c r="R41" s="35"/>
    </row>
    <row r="42" spans="1:18" x14ac:dyDescent="0.3">
      <c r="A42" s="28"/>
      <c r="B42" s="29"/>
      <c r="C42" s="29"/>
      <c r="D42" s="29"/>
      <c r="E42" s="29"/>
      <c r="F42" s="29"/>
      <c r="G42" s="29"/>
      <c r="H42" s="29"/>
      <c r="I42" s="29"/>
      <c r="J42" s="29"/>
      <c r="K42" s="29"/>
      <c r="L42" s="30"/>
      <c r="M42" s="30"/>
      <c r="N42" s="29"/>
      <c r="O42" s="28"/>
      <c r="P42" s="29"/>
      <c r="Q42" s="29"/>
      <c r="R42" s="31"/>
    </row>
    <row r="43" spans="1:18" x14ac:dyDescent="0.3">
      <c r="A43" s="32"/>
      <c r="B43" s="33"/>
      <c r="C43" s="33"/>
      <c r="D43" s="33"/>
      <c r="E43" s="33"/>
      <c r="F43" s="33"/>
      <c r="G43" s="33"/>
      <c r="H43" s="33"/>
      <c r="I43" s="33"/>
      <c r="J43" s="33"/>
      <c r="K43" s="33"/>
      <c r="L43" s="34"/>
      <c r="M43" s="34"/>
      <c r="N43" s="33"/>
      <c r="O43" s="32"/>
      <c r="P43" s="33"/>
      <c r="Q43" s="33"/>
      <c r="R43" s="35"/>
    </row>
    <row r="44" spans="1:18" x14ac:dyDescent="0.3">
      <c r="A44" s="28"/>
      <c r="B44" s="29"/>
      <c r="C44" s="29"/>
      <c r="D44" s="29"/>
      <c r="E44" s="29"/>
      <c r="F44" s="29"/>
      <c r="G44" s="29"/>
      <c r="H44" s="29"/>
      <c r="I44" s="29"/>
      <c r="J44" s="29"/>
      <c r="K44" s="29"/>
      <c r="L44" s="30"/>
      <c r="M44" s="30"/>
      <c r="N44" s="29"/>
      <c r="O44" s="28"/>
      <c r="P44" s="29"/>
      <c r="Q44" s="29"/>
      <c r="R44" s="31"/>
    </row>
    <row r="45" spans="1:18" x14ac:dyDescent="0.3">
      <c r="A45" s="32"/>
      <c r="B45" s="33"/>
      <c r="C45" s="33"/>
      <c r="D45" s="33"/>
      <c r="E45" s="33"/>
      <c r="F45" s="33"/>
      <c r="G45" s="33"/>
      <c r="H45" s="33"/>
      <c r="I45" s="33"/>
      <c r="J45" s="33"/>
      <c r="K45" s="33"/>
      <c r="L45" s="34"/>
      <c r="M45" s="34"/>
      <c r="N45" s="33"/>
      <c r="O45" s="32"/>
      <c r="P45" s="33"/>
      <c r="Q45" s="33"/>
      <c r="R45" s="35"/>
    </row>
    <row r="46" spans="1:18" x14ac:dyDescent="0.3">
      <c r="A46" s="28"/>
      <c r="B46" s="29"/>
      <c r="C46" s="29"/>
      <c r="D46" s="29"/>
      <c r="E46" s="29"/>
      <c r="F46" s="29"/>
      <c r="G46" s="29"/>
      <c r="H46" s="29"/>
      <c r="I46" s="29"/>
      <c r="J46" s="29"/>
      <c r="K46" s="29"/>
      <c r="L46" s="30"/>
      <c r="M46" s="30"/>
      <c r="N46" s="29"/>
      <c r="O46" s="28"/>
      <c r="P46" s="29"/>
      <c r="Q46" s="29"/>
      <c r="R46" s="31"/>
    </row>
    <row r="47" spans="1:18" x14ac:dyDescent="0.3">
      <c r="A47" s="32"/>
      <c r="B47" s="33"/>
      <c r="C47" s="33"/>
      <c r="D47" s="33"/>
      <c r="E47" s="33"/>
      <c r="F47" s="33"/>
      <c r="G47" s="33"/>
      <c r="H47" s="33"/>
      <c r="I47" s="33"/>
      <c r="J47" s="33"/>
      <c r="K47" s="33"/>
      <c r="L47" s="34"/>
      <c r="M47" s="34"/>
      <c r="N47" s="33"/>
      <c r="O47" s="32"/>
      <c r="P47" s="33"/>
      <c r="Q47" s="33"/>
      <c r="R47" s="35"/>
    </row>
    <row r="48" spans="1:18" x14ac:dyDescent="0.3">
      <c r="A48" s="28"/>
      <c r="B48" s="29"/>
      <c r="C48" s="29"/>
      <c r="D48" s="29"/>
      <c r="E48" s="29"/>
      <c r="F48" s="29"/>
      <c r="G48" s="29"/>
      <c r="H48" s="29"/>
      <c r="I48" s="29"/>
      <c r="J48" s="29"/>
      <c r="K48" s="29"/>
      <c r="L48" s="30"/>
      <c r="M48" s="30"/>
      <c r="N48" s="29"/>
      <c r="O48" s="28"/>
      <c r="P48" s="29"/>
      <c r="Q48" s="29"/>
      <c r="R48" s="31"/>
    </row>
    <row r="49" spans="1:18" x14ac:dyDescent="0.3">
      <c r="A49" s="32"/>
      <c r="B49" s="33"/>
      <c r="C49" s="33"/>
      <c r="D49" s="33"/>
      <c r="E49" s="33"/>
      <c r="F49" s="33"/>
      <c r="G49" s="33"/>
      <c r="H49" s="33"/>
      <c r="I49" s="33"/>
      <c r="J49" s="33"/>
      <c r="K49" s="33"/>
      <c r="L49" s="34"/>
      <c r="M49" s="34"/>
      <c r="N49" s="33"/>
      <c r="O49" s="32"/>
      <c r="P49" s="33"/>
      <c r="Q49" s="33"/>
      <c r="R49" s="35"/>
    </row>
    <row r="50" spans="1:18" x14ac:dyDescent="0.3">
      <c r="A50" s="28"/>
      <c r="B50" s="29"/>
      <c r="C50" s="29"/>
      <c r="D50" s="29"/>
      <c r="E50" s="29"/>
      <c r="F50" s="29"/>
      <c r="G50" s="29"/>
      <c r="H50" s="29"/>
      <c r="I50" s="29"/>
      <c r="J50" s="29"/>
      <c r="K50" s="29"/>
      <c r="L50" s="30"/>
      <c r="M50" s="30"/>
      <c r="N50" s="29"/>
      <c r="O50" s="28"/>
      <c r="P50" s="29"/>
      <c r="Q50" s="29"/>
      <c r="R50" s="31"/>
    </row>
    <row r="51" spans="1:18" x14ac:dyDescent="0.3">
      <c r="A51" s="32"/>
      <c r="B51" s="33"/>
      <c r="C51" s="33"/>
      <c r="D51" s="33"/>
      <c r="E51" s="33"/>
      <c r="F51" s="33"/>
      <c r="G51" s="33"/>
      <c r="H51" s="33"/>
      <c r="I51" s="33"/>
      <c r="J51" s="33"/>
      <c r="K51" s="33"/>
      <c r="L51" s="34"/>
      <c r="M51" s="34"/>
      <c r="N51" s="33"/>
      <c r="O51" s="32"/>
      <c r="P51" s="33"/>
      <c r="Q51" s="33"/>
      <c r="R51" s="35"/>
    </row>
    <row r="52" spans="1:18" x14ac:dyDescent="0.3">
      <c r="A52" s="28"/>
      <c r="B52" s="29"/>
      <c r="C52" s="29"/>
      <c r="D52" s="29"/>
      <c r="E52" s="29"/>
      <c r="F52" s="29"/>
      <c r="G52" s="29"/>
      <c r="H52" s="29"/>
      <c r="I52" s="29"/>
      <c r="J52" s="29"/>
      <c r="K52" s="29"/>
      <c r="L52" s="30"/>
      <c r="M52" s="30"/>
      <c r="N52" s="29"/>
      <c r="O52" s="28"/>
      <c r="P52" s="29"/>
      <c r="Q52" s="29"/>
      <c r="R52" s="31"/>
    </row>
    <row r="53" spans="1:18" x14ac:dyDescent="0.3">
      <c r="A53" s="32"/>
      <c r="B53" s="33"/>
      <c r="C53" s="33"/>
      <c r="D53" s="33"/>
      <c r="E53" s="33"/>
      <c r="F53" s="33"/>
      <c r="G53" s="33"/>
      <c r="H53" s="33"/>
      <c r="I53" s="33"/>
      <c r="J53" s="33"/>
      <c r="K53" s="33"/>
      <c r="L53" s="34"/>
      <c r="M53" s="34"/>
      <c r="N53" s="33"/>
      <c r="O53" s="32"/>
      <c r="P53" s="33"/>
      <c r="Q53" s="33"/>
      <c r="R53" s="35"/>
    </row>
    <row r="54" spans="1:18" x14ac:dyDescent="0.3">
      <c r="A54" s="28"/>
      <c r="B54" s="29"/>
      <c r="C54" s="29"/>
      <c r="D54" s="29"/>
      <c r="E54" s="29"/>
      <c r="F54" s="29"/>
      <c r="G54" s="29"/>
      <c r="H54" s="29"/>
      <c r="I54" s="29"/>
      <c r="J54" s="29"/>
      <c r="K54" s="29"/>
      <c r="L54" s="30"/>
      <c r="M54" s="30"/>
      <c r="N54" s="29"/>
      <c r="O54" s="28"/>
      <c r="P54" s="29"/>
      <c r="Q54" s="29"/>
      <c r="R54" s="31"/>
    </row>
    <row r="55" spans="1:18" x14ac:dyDescent="0.3">
      <c r="A55" s="32"/>
      <c r="B55" s="33"/>
      <c r="C55" s="33"/>
      <c r="D55" s="33"/>
      <c r="E55" s="33"/>
      <c r="F55" s="33"/>
      <c r="G55" s="33"/>
      <c r="H55" s="33"/>
      <c r="I55" s="33"/>
      <c r="J55" s="33"/>
      <c r="K55" s="33"/>
      <c r="L55" s="34"/>
      <c r="M55" s="34"/>
      <c r="N55" s="33"/>
      <c r="O55" s="32"/>
      <c r="P55" s="33"/>
      <c r="Q55" s="33"/>
      <c r="R55" s="35"/>
    </row>
    <row r="56" spans="1:18" x14ac:dyDescent="0.3">
      <c r="A56" s="28"/>
      <c r="B56" s="29"/>
      <c r="C56" s="29"/>
      <c r="D56" s="29"/>
      <c r="E56" s="29"/>
      <c r="F56" s="29"/>
      <c r="G56" s="29"/>
      <c r="H56" s="29"/>
      <c r="I56" s="29"/>
      <c r="J56" s="29"/>
      <c r="K56" s="29"/>
      <c r="L56" s="30"/>
      <c r="M56" s="30"/>
      <c r="N56" s="29"/>
      <c r="O56" s="28"/>
      <c r="P56" s="29"/>
      <c r="Q56" s="29"/>
      <c r="R56" s="31"/>
    </row>
    <row r="57" spans="1:18" x14ac:dyDescent="0.3">
      <c r="A57" s="32"/>
      <c r="B57" s="33"/>
      <c r="C57" s="33"/>
      <c r="D57" s="33"/>
      <c r="E57" s="33"/>
      <c r="F57" s="33"/>
      <c r="G57" s="33"/>
      <c r="H57" s="33"/>
      <c r="I57" s="33"/>
      <c r="J57" s="33"/>
      <c r="K57" s="33"/>
      <c r="L57" s="34"/>
      <c r="M57" s="34"/>
      <c r="N57" s="33"/>
      <c r="O57" s="32"/>
      <c r="P57" s="33"/>
      <c r="Q57" s="33"/>
      <c r="R57" s="35"/>
    </row>
    <row r="58" spans="1:18" x14ac:dyDescent="0.3">
      <c r="A58" s="28"/>
      <c r="B58" s="29"/>
      <c r="C58" s="29"/>
      <c r="D58" s="29"/>
      <c r="E58" s="29"/>
      <c r="F58" s="29"/>
      <c r="G58" s="29"/>
      <c r="H58" s="29"/>
      <c r="I58" s="29"/>
      <c r="J58" s="29"/>
      <c r="K58" s="29"/>
      <c r="L58" s="30"/>
      <c r="M58" s="30"/>
      <c r="N58" s="29"/>
      <c r="O58" s="28"/>
      <c r="P58" s="29"/>
      <c r="Q58" s="29"/>
      <c r="R58" s="31"/>
    </row>
    <row r="59" spans="1:18" x14ac:dyDescent="0.3">
      <c r="A59" s="32"/>
      <c r="B59" s="33"/>
      <c r="C59" s="33"/>
      <c r="D59" s="33"/>
      <c r="E59" s="33"/>
      <c r="F59" s="33"/>
      <c r="G59" s="33"/>
      <c r="H59" s="33"/>
      <c r="I59" s="33"/>
      <c r="J59" s="33"/>
      <c r="K59" s="33"/>
      <c r="L59" s="34"/>
      <c r="M59" s="34"/>
      <c r="N59" s="33"/>
      <c r="O59" s="32"/>
      <c r="P59" s="33"/>
      <c r="Q59" s="33"/>
      <c r="R59" s="35"/>
    </row>
    <row r="60" spans="1:18" x14ac:dyDescent="0.3">
      <c r="A60" s="28"/>
      <c r="B60" s="29"/>
      <c r="C60" s="29"/>
      <c r="D60" s="29"/>
      <c r="E60" s="29"/>
      <c r="F60" s="29"/>
      <c r="G60" s="29"/>
      <c r="H60" s="29"/>
      <c r="I60" s="29"/>
      <c r="J60" s="29"/>
      <c r="K60" s="29"/>
      <c r="L60" s="30"/>
      <c r="M60" s="30"/>
      <c r="N60" s="29"/>
      <c r="O60" s="28"/>
      <c r="P60" s="29"/>
      <c r="Q60" s="29"/>
      <c r="R60" s="31"/>
    </row>
    <row r="61" spans="1:18" x14ac:dyDescent="0.3">
      <c r="A61" s="32"/>
      <c r="B61" s="33"/>
      <c r="C61" s="33"/>
      <c r="D61" s="33"/>
      <c r="E61" s="33"/>
      <c r="F61" s="33"/>
      <c r="G61" s="33"/>
      <c r="H61" s="33"/>
      <c r="I61" s="33"/>
      <c r="J61" s="33"/>
      <c r="K61" s="33"/>
      <c r="L61" s="34"/>
      <c r="M61" s="34"/>
      <c r="N61" s="33"/>
      <c r="O61" s="32"/>
      <c r="P61" s="33"/>
      <c r="Q61" s="33"/>
      <c r="R61" s="35"/>
    </row>
    <row r="62" spans="1:18" x14ac:dyDescent="0.3">
      <c r="A62" s="28"/>
      <c r="B62" s="29"/>
      <c r="C62" s="29"/>
      <c r="D62" s="29"/>
      <c r="E62" s="29"/>
      <c r="F62" s="29"/>
      <c r="G62" s="29"/>
      <c r="H62" s="29"/>
      <c r="I62" s="29"/>
      <c r="J62" s="29"/>
      <c r="K62" s="29"/>
      <c r="L62" s="30"/>
      <c r="M62" s="30"/>
      <c r="N62" s="29"/>
      <c r="O62" s="28"/>
      <c r="P62" s="29"/>
      <c r="Q62" s="29"/>
      <c r="R62" s="31"/>
    </row>
    <row r="63" spans="1:18" x14ac:dyDescent="0.3">
      <c r="A63" s="32"/>
      <c r="B63" s="33"/>
      <c r="C63" s="33"/>
      <c r="D63" s="33"/>
      <c r="E63" s="33"/>
      <c r="F63" s="33"/>
      <c r="G63" s="33"/>
      <c r="H63" s="33"/>
      <c r="I63" s="33"/>
      <c r="J63" s="33"/>
      <c r="K63" s="33"/>
      <c r="L63" s="34"/>
      <c r="M63" s="34"/>
      <c r="N63" s="33"/>
      <c r="O63" s="32"/>
      <c r="P63" s="33"/>
      <c r="Q63" s="33"/>
      <c r="R63" s="35"/>
    </row>
    <row r="64" spans="1:18" x14ac:dyDescent="0.3">
      <c r="A64" s="28"/>
      <c r="B64" s="29"/>
      <c r="C64" s="29"/>
      <c r="D64" s="29"/>
      <c r="E64" s="29"/>
      <c r="F64" s="29"/>
      <c r="G64" s="29"/>
      <c r="H64" s="29"/>
      <c r="I64" s="29"/>
      <c r="J64" s="29"/>
      <c r="K64" s="29"/>
      <c r="L64" s="30"/>
      <c r="M64" s="30"/>
      <c r="N64" s="29"/>
      <c r="O64" s="28"/>
      <c r="P64" s="29"/>
      <c r="Q64" s="29"/>
      <c r="R64" s="31"/>
    </row>
    <row r="65" spans="1:18" x14ac:dyDescent="0.3">
      <c r="A65" s="32"/>
      <c r="B65" s="33"/>
      <c r="C65" s="33"/>
      <c r="D65" s="33"/>
      <c r="E65" s="33"/>
      <c r="F65" s="33"/>
      <c r="G65" s="33"/>
      <c r="H65" s="33"/>
      <c r="I65" s="33"/>
      <c r="J65" s="33"/>
      <c r="K65" s="33"/>
      <c r="L65" s="34"/>
      <c r="M65" s="34"/>
      <c r="N65" s="33"/>
      <c r="O65" s="32"/>
      <c r="P65" s="33"/>
      <c r="Q65" s="33"/>
      <c r="R65" s="35"/>
    </row>
    <row r="66" spans="1:18" x14ac:dyDescent="0.3">
      <c r="A66" s="28"/>
      <c r="B66" s="29"/>
      <c r="C66" s="29"/>
      <c r="D66" s="29"/>
      <c r="E66" s="29"/>
      <c r="F66" s="29"/>
      <c r="G66" s="29"/>
      <c r="H66" s="29"/>
      <c r="I66" s="29"/>
      <c r="J66" s="29"/>
      <c r="K66" s="29"/>
      <c r="L66" s="30"/>
      <c r="M66" s="30"/>
      <c r="N66" s="29"/>
      <c r="O66" s="28"/>
      <c r="P66" s="29"/>
      <c r="Q66" s="29"/>
      <c r="R66" s="31"/>
    </row>
    <row r="67" spans="1:18" x14ac:dyDescent="0.3">
      <c r="A67" s="32"/>
      <c r="B67" s="33"/>
      <c r="C67" s="33"/>
      <c r="D67" s="33"/>
      <c r="E67" s="33"/>
      <c r="F67" s="33"/>
      <c r="G67" s="33"/>
      <c r="H67" s="33"/>
      <c r="I67" s="33"/>
      <c r="J67" s="33"/>
      <c r="K67" s="33"/>
      <c r="L67" s="34"/>
      <c r="M67" s="34"/>
      <c r="N67" s="33"/>
      <c r="O67" s="32"/>
      <c r="P67" s="33"/>
      <c r="Q67" s="33"/>
      <c r="R67" s="35"/>
    </row>
    <row r="68" spans="1:18" x14ac:dyDescent="0.3">
      <c r="A68" s="28"/>
      <c r="B68" s="29"/>
      <c r="C68" s="29"/>
      <c r="D68" s="29"/>
      <c r="E68" s="29"/>
      <c r="F68" s="29"/>
      <c r="G68" s="29"/>
      <c r="H68" s="29"/>
      <c r="I68" s="29"/>
      <c r="J68" s="29"/>
      <c r="K68" s="29"/>
      <c r="L68" s="30"/>
      <c r="M68" s="30"/>
      <c r="N68" s="29"/>
      <c r="O68" s="28"/>
      <c r="P68" s="29"/>
      <c r="Q68" s="29"/>
      <c r="R68" s="31"/>
    </row>
    <row r="69" spans="1:18" x14ac:dyDescent="0.3">
      <c r="A69" s="32"/>
      <c r="B69" s="33"/>
      <c r="C69" s="33"/>
      <c r="D69" s="33"/>
      <c r="E69" s="33"/>
      <c r="F69" s="33"/>
      <c r="G69" s="33"/>
      <c r="H69" s="33"/>
      <c r="I69" s="33"/>
      <c r="J69" s="33"/>
      <c r="K69" s="33"/>
      <c r="L69" s="34"/>
      <c r="M69" s="34"/>
      <c r="N69" s="33"/>
      <c r="O69" s="32"/>
      <c r="P69" s="33"/>
      <c r="Q69" s="33"/>
      <c r="R69" s="35"/>
    </row>
    <row r="70" spans="1:18" x14ac:dyDescent="0.3">
      <c r="A70" s="28"/>
      <c r="B70" s="29"/>
      <c r="C70" s="29"/>
      <c r="D70" s="29"/>
      <c r="E70" s="29"/>
      <c r="F70" s="29"/>
      <c r="G70" s="29"/>
      <c r="H70" s="29"/>
      <c r="I70" s="29"/>
      <c r="J70" s="29"/>
      <c r="K70" s="29"/>
      <c r="L70" s="30"/>
      <c r="M70" s="30"/>
      <c r="N70" s="29"/>
      <c r="O70" s="28"/>
      <c r="P70" s="29"/>
      <c r="Q70" s="29"/>
      <c r="R70" s="31"/>
    </row>
    <row r="71" spans="1:18" x14ac:dyDescent="0.3">
      <c r="A71" s="32"/>
      <c r="B71" s="33"/>
      <c r="C71" s="33"/>
      <c r="D71" s="33"/>
      <c r="E71" s="33"/>
      <c r="F71" s="33"/>
      <c r="G71" s="33"/>
      <c r="H71" s="33"/>
      <c r="I71" s="33"/>
      <c r="J71" s="33"/>
      <c r="K71" s="33"/>
      <c r="L71" s="34"/>
      <c r="M71" s="34"/>
      <c r="N71" s="33"/>
      <c r="O71" s="32"/>
      <c r="P71" s="33"/>
      <c r="Q71" s="33"/>
      <c r="R71" s="35"/>
    </row>
    <row r="72" spans="1:18" x14ac:dyDescent="0.3">
      <c r="A72" s="28"/>
      <c r="B72" s="29"/>
      <c r="C72" s="29"/>
      <c r="D72" s="29"/>
      <c r="E72" s="29"/>
      <c r="F72" s="29"/>
      <c r="G72" s="29"/>
      <c r="H72" s="29"/>
      <c r="I72" s="29"/>
      <c r="J72" s="29"/>
      <c r="K72" s="29"/>
      <c r="L72" s="30"/>
      <c r="M72" s="30"/>
      <c r="N72" s="29"/>
      <c r="O72" s="28"/>
      <c r="P72" s="29"/>
      <c r="Q72" s="29"/>
      <c r="R72" s="31"/>
    </row>
    <row r="73" spans="1:18" x14ac:dyDescent="0.3">
      <c r="A73" s="32"/>
      <c r="B73" s="33"/>
      <c r="C73" s="33"/>
      <c r="D73" s="33"/>
      <c r="E73" s="33"/>
      <c r="F73" s="33"/>
      <c r="G73" s="33"/>
      <c r="H73" s="33"/>
      <c r="I73" s="33"/>
      <c r="J73" s="33"/>
      <c r="K73" s="33"/>
      <c r="L73" s="34"/>
      <c r="M73" s="34"/>
      <c r="N73" s="33"/>
      <c r="O73" s="32"/>
      <c r="P73" s="33"/>
      <c r="Q73" s="33"/>
      <c r="R73" s="35"/>
    </row>
    <row r="74" spans="1:18" x14ac:dyDescent="0.3">
      <c r="A74" s="28"/>
      <c r="B74" s="29"/>
      <c r="C74" s="29"/>
      <c r="D74" s="29"/>
      <c r="E74" s="29"/>
      <c r="F74" s="29"/>
      <c r="G74" s="29"/>
      <c r="H74" s="29"/>
      <c r="I74" s="29"/>
      <c r="J74" s="29"/>
      <c r="K74" s="29"/>
      <c r="L74" s="30"/>
      <c r="M74" s="30"/>
      <c r="N74" s="29"/>
      <c r="O74" s="28"/>
      <c r="P74" s="29"/>
      <c r="Q74" s="29"/>
      <c r="R74" s="31"/>
    </row>
    <row r="75" spans="1:18" x14ac:dyDescent="0.3">
      <c r="A75" s="32"/>
      <c r="B75" s="33"/>
      <c r="C75" s="33"/>
      <c r="D75" s="33"/>
      <c r="E75" s="33"/>
      <c r="F75" s="33"/>
      <c r="G75" s="33"/>
      <c r="H75" s="33"/>
      <c r="I75" s="33"/>
      <c r="J75" s="33"/>
      <c r="K75" s="33"/>
      <c r="L75" s="34"/>
      <c r="M75" s="34"/>
      <c r="N75" s="33"/>
      <c r="O75" s="32"/>
      <c r="P75" s="33"/>
      <c r="Q75" s="33"/>
      <c r="R75" s="35"/>
    </row>
    <row r="76" spans="1:18" x14ac:dyDescent="0.3">
      <c r="A76" s="28"/>
      <c r="B76" s="29"/>
      <c r="C76" s="29"/>
      <c r="D76" s="29"/>
      <c r="E76" s="29"/>
      <c r="F76" s="29"/>
      <c r="G76" s="29"/>
      <c r="H76" s="29"/>
      <c r="I76" s="29"/>
      <c r="J76" s="29"/>
      <c r="K76" s="29"/>
      <c r="L76" s="30"/>
      <c r="M76" s="30"/>
      <c r="N76" s="29"/>
      <c r="O76" s="28"/>
      <c r="P76" s="29"/>
      <c r="Q76" s="29"/>
      <c r="R76" s="31"/>
    </row>
    <row r="77" spans="1:18" x14ac:dyDescent="0.3">
      <c r="A77" s="32"/>
      <c r="B77" s="33"/>
      <c r="C77" s="33"/>
      <c r="D77" s="33"/>
      <c r="E77" s="33"/>
      <c r="F77" s="33"/>
      <c r="G77" s="33"/>
      <c r="H77" s="33"/>
      <c r="I77" s="33"/>
      <c r="J77" s="33"/>
      <c r="K77" s="33"/>
      <c r="L77" s="34"/>
      <c r="M77" s="34"/>
      <c r="N77" s="33"/>
      <c r="O77" s="32"/>
      <c r="P77" s="33"/>
      <c r="Q77" s="33"/>
      <c r="R77" s="35"/>
    </row>
    <row r="78" spans="1:18" x14ac:dyDescent="0.3">
      <c r="A78" s="28"/>
      <c r="B78" s="29"/>
      <c r="C78" s="29"/>
      <c r="D78" s="29"/>
      <c r="E78" s="29"/>
      <c r="F78" s="29"/>
      <c r="G78" s="29"/>
      <c r="H78" s="29"/>
      <c r="I78" s="29"/>
      <c r="J78" s="29"/>
      <c r="K78" s="29"/>
      <c r="L78" s="30"/>
      <c r="M78" s="30"/>
      <c r="N78" s="29"/>
      <c r="O78" s="28"/>
      <c r="P78" s="29"/>
      <c r="Q78" s="29"/>
      <c r="R78" s="31"/>
    </row>
    <row r="79" spans="1:18" x14ac:dyDescent="0.3">
      <c r="A79" s="32"/>
      <c r="B79" s="33"/>
      <c r="C79" s="33"/>
      <c r="D79" s="33"/>
      <c r="E79" s="33"/>
      <c r="F79" s="33"/>
      <c r="G79" s="33"/>
      <c r="H79" s="33"/>
      <c r="I79" s="33"/>
      <c r="J79" s="33"/>
      <c r="K79" s="33"/>
      <c r="L79" s="34"/>
      <c r="M79" s="34"/>
      <c r="N79" s="33"/>
      <c r="O79" s="32"/>
      <c r="P79" s="33"/>
      <c r="Q79" s="33"/>
      <c r="R79" s="35"/>
    </row>
    <row r="80" spans="1:18" x14ac:dyDescent="0.3">
      <c r="A80" s="28"/>
      <c r="B80" s="29"/>
      <c r="C80" s="29"/>
      <c r="D80" s="29"/>
      <c r="E80" s="29"/>
      <c r="F80" s="29"/>
      <c r="G80" s="29"/>
      <c r="H80" s="29"/>
      <c r="I80" s="29"/>
      <c r="J80" s="29"/>
      <c r="K80" s="29"/>
      <c r="L80" s="30"/>
      <c r="M80" s="30"/>
      <c r="N80" s="29"/>
      <c r="O80" s="28"/>
      <c r="P80" s="29"/>
      <c r="Q80" s="29"/>
      <c r="R80" s="31"/>
    </row>
    <row r="81" spans="1:18" x14ac:dyDescent="0.3">
      <c r="A81" s="32"/>
      <c r="B81" s="33"/>
      <c r="C81" s="33"/>
      <c r="D81" s="33"/>
      <c r="E81" s="33"/>
      <c r="F81" s="33"/>
      <c r="G81" s="33"/>
      <c r="H81" s="33"/>
      <c r="I81" s="33"/>
      <c r="J81" s="33"/>
      <c r="K81" s="33"/>
      <c r="L81" s="34"/>
      <c r="M81" s="34"/>
      <c r="N81" s="33"/>
      <c r="O81" s="32"/>
      <c r="P81" s="33"/>
      <c r="Q81" s="33"/>
      <c r="R81" s="35"/>
    </row>
    <row r="82" spans="1:18" x14ac:dyDescent="0.3">
      <c r="A82" s="28"/>
      <c r="B82" s="29"/>
      <c r="C82" s="29"/>
      <c r="D82" s="29"/>
      <c r="E82" s="29"/>
      <c r="F82" s="29"/>
      <c r="G82" s="29"/>
      <c r="H82" s="29"/>
      <c r="I82" s="29"/>
      <c r="J82" s="29"/>
      <c r="K82" s="29"/>
      <c r="L82" s="30"/>
      <c r="M82" s="30"/>
      <c r="N82" s="29"/>
      <c r="O82" s="28"/>
      <c r="P82" s="29"/>
      <c r="Q82" s="29"/>
      <c r="R82" s="31"/>
    </row>
    <row r="83" spans="1:18" x14ac:dyDescent="0.3">
      <c r="A83" s="32"/>
      <c r="B83" s="33"/>
      <c r="C83" s="33"/>
      <c r="D83" s="33"/>
      <c r="E83" s="33"/>
      <c r="F83" s="33"/>
      <c r="G83" s="33"/>
      <c r="H83" s="33"/>
      <c r="I83" s="33"/>
      <c r="J83" s="33"/>
      <c r="K83" s="33"/>
      <c r="L83" s="34"/>
      <c r="M83" s="34"/>
      <c r="N83" s="33"/>
      <c r="O83" s="32"/>
      <c r="P83" s="33"/>
      <c r="Q83" s="33"/>
      <c r="R83" s="35"/>
    </row>
    <row r="84" spans="1:18" x14ac:dyDescent="0.3">
      <c r="A84" s="28"/>
      <c r="B84" s="29"/>
      <c r="C84" s="29"/>
      <c r="D84" s="29"/>
      <c r="E84" s="29"/>
      <c r="F84" s="29"/>
      <c r="G84" s="29"/>
      <c r="H84" s="29"/>
      <c r="I84" s="29"/>
      <c r="J84" s="29"/>
      <c r="K84" s="29"/>
      <c r="L84" s="30"/>
      <c r="M84" s="30"/>
      <c r="N84" s="29"/>
      <c r="O84" s="28"/>
      <c r="P84" s="29"/>
      <c r="Q84" s="29"/>
      <c r="R84" s="31"/>
    </row>
    <row r="85" spans="1:18" x14ac:dyDescent="0.3">
      <c r="A85" s="32"/>
      <c r="B85" s="33"/>
      <c r="C85" s="33"/>
      <c r="D85" s="33"/>
      <c r="E85" s="33"/>
      <c r="F85" s="33"/>
      <c r="G85" s="33"/>
      <c r="H85" s="33"/>
      <c r="I85" s="33"/>
      <c r="J85" s="33"/>
      <c r="K85" s="33"/>
      <c r="L85" s="34"/>
      <c r="M85" s="34"/>
      <c r="N85" s="33"/>
      <c r="O85" s="32"/>
      <c r="P85" s="33"/>
      <c r="Q85" s="33"/>
      <c r="R85" s="35"/>
    </row>
    <row r="86" spans="1:18" x14ac:dyDescent="0.3">
      <c r="A86" s="28"/>
      <c r="B86" s="29"/>
      <c r="C86" s="29"/>
      <c r="D86" s="29"/>
      <c r="E86" s="29"/>
      <c r="F86" s="29"/>
      <c r="G86" s="29"/>
      <c r="H86" s="29"/>
      <c r="I86" s="29"/>
      <c r="J86" s="29"/>
      <c r="K86" s="29"/>
      <c r="L86" s="30"/>
      <c r="M86" s="30"/>
      <c r="N86" s="29"/>
      <c r="O86" s="28"/>
      <c r="P86" s="29"/>
      <c r="Q86" s="29"/>
      <c r="R86" s="31"/>
    </row>
    <row r="87" spans="1:18" x14ac:dyDescent="0.3">
      <c r="A87" s="32"/>
      <c r="B87" s="33"/>
      <c r="C87" s="33"/>
      <c r="D87" s="33"/>
      <c r="E87" s="33"/>
      <c r="F87" s="33"/>
      <c r="G87" s="33"/>
      <c r="H87" s="33"/>
      <c r="I87" s="33"/>
      <c r="J87" s="33"/>
      <c r="K87" s="33"/>
      <c r="L87" s="34"/>
      <c r="M87" s="34"/>
      <c r="N87" s="33"/>
      <c r="O87" s="32"/>
      <c r="P87" s="33"/>
      <c r="Q87" s="33"/>
      <c r="R87" s="35"/>
    </row>
    <row r="88" spans="1:18" x14ac:dyDescent="0.3">
      <c r="A88" s="28"/>
      <c r="B88" s="29"/>
      <c r="C88" s="29"/>
      <c r="D88" s="29"/>
      <c r="E88" s="29"/>
      <c r="F88" s="29"/>
      <c r="G88" s="29"/>
      <c r="H88" s="29"/>
      <c r="I88" s="29"/>
      <c r="J88" s="29"/>
      <c r="K88" s="29"/>
      <c r="L88" s="30"/>
      <c r="M88" s="30"/>
      <c r="N88" s="29"/>
      <c r="O88" s="28"/>
      <c r="P88" s="29"/>
      <c r="Q88" s="29"/>
      <c r="R88" s="31"/>
    </row>
    <row r="89" spans="1:18" x14ac:dyDescent="0.3">
      <c r="A89" s="32"/>
      <c r="B89" s="33"/>
      <c r="C89" s="33"/>
      <c r="D89" s="33"/>
      <c r="E89" s="33"/>
      <c r="F89" s="33"/>
      <c r="G89" s="33"/>
      <c r="H89" s="33"/>
      <c r="I89" s="33"/>
      <c r="J89" s="33"/>
      <c r="K89" s="33"/>
      <c r="L89" s="34"/>
      <c r="M89" s="34"/>
      <c r="N89" s="33"/>
      <c r="O89" s="32"/>
      <c r="P89" s="33"/>
      <c r="Q89" s="33"/>
      <c r="R89" s="35"/>
    </row>
    <row r="90" spans="1:18" x14ac:dyDescent="0.3">
      <c r="A90" s="28"/>
      <c r="B90" s="29"/>
      <c r="C90" s="29"/>
      <c r="D90" s="29"/>
      <c r="E90" s="29"/>
      <c r="F90" s="29"/>
      <c r="G90" s="29"/>
      <c r="H90" s="29"/>
      <c r="I90" s="29"/>
      <c r="J90" s="29"/>
      <c r="K90" s="29"/>
      <c r="L90" s="30"/>
      <c r="M90" s="30"/>
      <c r="N90" s="29"/>
      <c r="O90" s="28"/>
      <c r="P90" s="29"/>
      <c r="Q90" s="29"/>
      <c r="R90" s="31"/>
    </row>
    <row r="91" spans="1:18" x14ac:dyDescent="0.3">
      <c r="A91" s="32"/>
      <c r="B91" s="33"/>
      <c r="C91" s="33"/>
      <c r="D91" s="33"/>
      <c r="E91" s="33"/>
      <c r="F91" s="33"/>
      <c r="G91" s="33"/>
      <c r="H91" s="33"/>
      <c r="I91" s="33"/>
      <c r="J91" s="33"/>
      <c r="K91" s="33"/>
      <c r="L91" s="34"/>
      <c r="M91" s="34"/>
      <c r="N91" s="33"/>
      <c r="O91" s="32"/>
      <c r="P91" s="33"/>
      <c r="Q91" s="33"/>
      <c r="R91" s="35"/>
    </row>
    <row r="92" spans="1:18" x14ac:dyDescent="0.3">
      <c r="A92" s="28"/>
      <c r="B92" s="29"/>
      <c r="C92" s="29"/>
      <c r="D92" s="29"/>
      <c r="E92" s="29"/>
      <c r="F92" s="29"/>
      <c r="G92" s="29"/>
      <c r="H92" s="29"/>
      <c r="I92" s="29"/>
      <c r="J92" s="29"/>
      <c r="K92" s="29"/>
      <c r="L92" s="30"/>
      <c r="M92" s="30"/>
      <c r="N92" s="29"/>
      <c r="O92" s="28"/>
      <c r="P92" s="29"/>
      <c r="Q92" s="29"/>
      <c r="R92" s="31"/>
    </row>
    <row r="93" spans="1:18" x14ac:dyDescent="0.3">
      <c r="A93" s="32"/>
      <c r="B93" s="33"/>
      <c r="C93" s="33"/>
      <c r="D93" s="33"/>
      <c r="E93" s="33"/>
      <c r="F93" s="33"/>
      <c r="G93" s="33"/>
      <c r="H93" s="33"/>
      <c r="I93" s="33"/>
      <c r="J93" s="33"/>
      <c r="K93" s="33"/>
      <c r="L93" s="34"/>
      <c r="M93" s="34"/>
      <c r="N93" s="33"/>
      <c r="O93" s="32"/>
      <c r="P93" s="33"/>
      <c r="Q93" s="33"/>
      <c r="R93" s="35"/>
    </row>
    <row r="94" spans="1:18" x14ac:dyDescent="0.3">
      <c r="A94" s="28"/>
      <c r="B94" s="29"/>
      <c r="C94" s="29"/>
      <c r="D94" s="29"/>
      <c r="E94" s="29"/>
      <c r="F94" s="29"/>
      <c r="G94" s="29"/>
      <c r="H94" s="29"/>
      <c r="I94" s="29"/>
      <c r="J94" s="29"/>
      <c r="K94" s="29"/>
      <c r="L94" s="30"/>
      <c r="M94" s="30"/>
      <c r="N94" s="29"/>
      <c r="O94" s="28"/>
      <c r="P94" s="29"/>
      <c r="Q94" s="29"/>
      <c r="R94" s="31"/>
    </row>
    <row r="95" spans="1:18" x14ac:dyDescent="0.3">
      <c r="A95" s="32"/>
      <c r="B95" s="33"/>
      <c r="C95" s="33"/>
      <c r="D95" s="33"/>
      <c r="E95" s="33"/>
      <c r="F95" s="33"/>
      <c r="G95" s="33"/>
      <c r="H95" s="33"/>
      <c r="I95" s="33"/>
      <c r="J95" s="33"/>
      <c r="K95" s="33"/>
      <c r="L95" s="34"/>
      <c r="M95" s="34"/>
      <c r="N95" s="33"/>
      <c r="O95" s="32"/>
      <c r="P95" s="33"/>
      <c r="Q95" s="33"/>
      <c r="R95" s="35"/>
    </row>
    <row r="96" spans="1:18" x14ac:dyDescent="0.3">
      <c r="A96" s="28"/>
      <c r="B96" s="29"/>
      <c r="C96" s="29"/>
      <c r="D96" s="29"/>
      <c r="E96" s="29"/>
      <c r="F96" s="29"/>
      <c r="G96" s="29"/>
      <c r="H96" s="29"/>
      <c r="I96" s="29"/>
      <c r="J96" s="29"/>
      <c r="K96" s="29"/>
      <c r="L96" s="30"/>
      <c r="M96" s="30"/>
      <c r="N96" s="29"/>
      <c r="O96" s="28"/>
      <c r="P96" s="29"/>
      <c r="Q96" s="29"/>
      <c r="R96" s="31"/>
    </row>
    <row r="97" spans="1:18" x14ac:dyDescent="0.3">
      <c r="A97" s="32"/>
      <c r="B97" s="33"/>
      <c r="C97" s="33"/>
      <c r="D97" s="33"/>
      <c r="E97" s="33"/>
      <c r="F97" s="33"/>
      <c r="G97" s="33"/>
      <c r="H97" s="33"/>
      <c r="I97" s="33"/>
      <c r="J97" s="33"/>
      <c r="K97" s="33"/>
      <c r="L97" s="34"/>
      <c r="M97" s="34"/>
      <c r="N97" s="33"/>
      <c r="O97" s="32"/>
      <c r="P97" s="33"/>
      <c r="Q97" s="33"/>
      <c r="R97" s="35"/>
    </row>
    <row r="98" spans="1:18" x14ac:dyDescent="0.3">
      <c r="A98" s="28"/>
      <c r="B98" s="29"/>
      <c r="C98" s="29"/>
      <c r="D98" s="29"/>
      <c r="E98" s="29"/>
      <c r="F98" s="29"/>
      <c r="G98" s="29"/>
      <c r="H98" s="29"/>
      <c r="I98" s="29"/>
      <c r="J98" s="29"/>
      <c r="K98" s="29"/>
      <c r="L98" s="30"/>
      <c r="M98" s="30"/>
      <c r="N98" s="29"/>
      <c r="O98" s="28"/>
      <c r="P98" s="29"/>
      <c r="Q98" s="29"/>
      <c r="R98" s="31"/>
    </row>
    <row r="99" spans="1:18" x14ac:dyDescent="0.3">
      <c r="A99" s="32"/>
      <c r="B99" s="33"/>
      <c r="C99" s="33"/>
      <c r="D99" s="33"/>
      <c r="E99" s="33"/>
      <c r="F99" s="33"/>
      <c r="G99" s="33"/>
      <c r="H99" s="33"/>
      <c r="I99" s="33"/>
      <c r="J99" s="33"/>
      <c r="K99" s="33"/>
      <c r="L99" s="34"/>
      <c r="M99" s="34"/>
      <c r="N99" s="33"/>
      <c r="O99" s="32"/>
      <c r="P99" s="33"/>
      <c r="Q99" s="33"/>
      <c r="R99" s="35"/>
    </row>
    <row r="100" spans="1:18" x14ac:dyDescent="0.3">
      <c r="A100" s="28"/>
      <c r="B100" s="29"/>
      <c r="C100" s="29"/>
      <c r="D100" s="29"/>
      <c r="E100" s="29"/>
      <c r="F100" s="29"/>
      <c r="G100" s="29"/>
      <c r="H100" s="29"/>
      <c r="I100" s="29"/>
      <c r="J100" s="29"/>
      <c r="K100" s="29"/>
      <c r="L100" s="30"/>
      <c r="M100" s="30"/>
      <c r="N100" s="29"/>
      <c r="O100" s="28"/>
      <c r="P100" s="29"/>
      <c r="Q100" s="29"/>
      <c r="R100" s="31"/>
    </row>
    <row r="101" spans="1:18" x14ac:dyDescent="0.3">
      <c r="A101" s="32"/>
      <c r="B101" s="33"/>
      <c r="C101" s="33"/>
      <c r="D101" s="33"/>
      <c r="E101" s="33"/>
      <c r="F101" s="33"/>
      <c r="G101" s="33"/>
      <c r="H101" s="33"/>
      <c r="I101" s="33"/>
      <c r="J101" s="33"/>
      <c r="K101" s="33"/>
      <c r="L101" s="34"/>
      <c r="M101" s="34"/>
      <c r="N101" s="33"/>
      <c r="O101" s="32"/>
      <c r="P101" s="33"/>
      <c r="Q101" s="33"/>
      <c r="R101" s="35"/>
    </row>
    <row r="102" spans="1:18" x14ac:dyDescent="0.3">
      <c r="A102" s="28"/>
      <c r="B102" s="29"/>
      <c r="C102" s="29"/>
      <c r="D102" s="29"/>
      <c r="E102" s="29"/>
      <c r="F102" s="29"/>
      <c r="G102" s="29"/>
      <c r="H102" s="29"/>
      <c r="I102" s="29"/>
      <c r="J102" s="29"/>
      <c r="K102" s="29"/>
      <c r="L102" s="30"/>
      <c r="M102" s="30"/>
      <c r="N102" s="29"/>
      <c r="O102" s="28"/>
      <c r="P102" s="29"/>
      <c r="Q102" s="29"/>
      <c r="R102" s="31"/>
    </row>
    <row r="103" spans="1:18" x14ac:dyDescent="0.3">
      <c r="A103" s="32"/>
      <c r="B103" s="33"/>
      <c r="C103" s="33"/>
      <c r="D103" s="33"/>
      <c r="E103" s="33"/>
      <c r="F103" s="33"/>
      <c r="G103" s="33"/>
      <c r="H103" s="33"/>
      <c r="I103" s="33"/>
      <c r="J103" s="33"/>
      <c r="K103" s="33"/>
      <c r="L103" s="34"/>
      <c r="M103" s="34"/>
      <c r="N103" s="33"/>
      <c r="O103" s="32"/>
      <c r="P103" s="33"/>
      <c r="Q103" s="33"/>
      <c r="R103" s="35"/>
    </row>
    <row r="104" spans="1:18" x14ac:dyDescent="0.3">
      <c r="A104" s="28"/>
      <c r="B104" s="29"/>
      <c r="C104" s="29"/>
      <c r="D104" s="29"/>
      <c r="E104" s="29"/>
      <c r="F104" s="29"/>
      <c r="G104" s="29"/>
      <c r="H104" s="29"/>
      <c r="I104" s="29"/>
      <c r="J104" s="29"/>
      <c r="K104" s="29"/>
      <c r="L104" s="30"/>
      <c r="M104" s="30"/>
      <c r="N104" s="29"/>
      <c r="O104" s="28"/>
      <c r="P104" s="29"/>
      <c r="Q104" s="29"/>
      <c r="R104" s="31"/>
    </row>
    <row r="105" spans="1:18" x14ac:dyDescent="0.3">
      <c r="A105" s="32"/>
      <c r="B105" s="33"/>
      <c r="C105" s="33"/>
      <c r="D105" s="33"/>
      <c r="E105" s="33"/>
      <c r="F105" s="33"/>
      <c r="G105" s="33"/>
      <c r="H105" s="33"/>
      <c r="I105" s="33"/>
      <c r="J105" s="33"/>
      <c r="K105" s="33"/>
      <c r="L105" s="34"/>
      <c r="M105" s="34"/>
      <c r="N105" s="33"/>
      <c r="O105" s="32"/>
      <c r="P105" s="33"/>
      <c r="Q105" s="33"/>
      <c r="R105" s="35"/>
    </row>
    <row r="106" spans="1:18" x14ac:dyDescent="0.3">
      <c r="A106" s="28"/>
      <c r="B106" s="29"/>
      <c r="C106" s="29"/>
      <c r="D106" s="29"/>
      <c r="E106" s="29"/>
      <c r="F106" s="29"/>
      <c r="G106" s="29"/>
      <c r="H106" s="29"/>
      <c r="I106" s="29"/>
      <c r="J106" s="29"/>
      <c r="K106" s="29"/>
      <c r="L106" s="30"/>
      <c r="M106" s="30"/>
      <c r="N106" s="29"/>
      <c r="O106" s="28"/>
      <c r="P106" s="29"/>
      <c r="Q106" s="29"/>
      <c r="R106" s="31"/>
    </row>
    <row r="107" spans="1:18" x14ac:dyDescent="0.3">
      <c r="A107" s="32"/>
      <c r="B107" s="33"/>
      <c r="C107" s="33"/>
      <c r="D107" s="33"/>
      <c r="E107" s="33"/>
      <c r="F107" s="33"/>
      <c r="G107" s="33"/>
      <c r="H107" s="33"/>
      <c r="I107" s="33"/>
      <c r="J107" s="33"/>
      <c r="K107" s="33"/>
      <c r="L107" s="34"/>
      <c r="M107" s="34"/>
      <c r="N107" s="33"/>
      <c r="O107" s="32"/>
      <c r="P107" s="33"/>
      <c r="Q107" s="33"/>
      <c r="R107" s="35"/>
    </row>
    <row r="108" spans="1:18" x14ac:dyDescent="0.3">
      <c r="A108" s="28"/>
      <c r="B108" s="29"/>
      <c r="C108" s="29"/>
      <c r="D108" s="29"/>
      <c r="E108" s="29"/>
      <c r="F108" s="29"/>
      <c r="G108" s="29"/>
      <c r="H108" s="29"/>
      <c r="I108" s="29"/>
      <c r="J108" s="29"/>
      <c r="K108" s="29"/>
      <c r="L108" s="30"/>
      <c r="M108" s="30"/>
      <c r="N108" s="29"/>
      <c r="O108" s="28"/>
      <c r="P108" s="29"/>
      <c r="Q108" s="29"/>
      <c r="R108" s="31"/>
    </row>
    <row r="109" spans="1:18" x14ac:dyDescent="0.3">
      <c r="A109" s="32"/>
      <c r="B109" s="33"/>
      <c r="C109" s="33"/>
      <c r="D109" s="33"/>
      <c r="E109" s="33"/>
      <c r="F109" s="33"/>
      <c r="G109" s="33"/>
      <c r="H109" s="33"/>
      <c r="I109" s="33"/>
      <c r="J109" s="33"/>
      <c r="K109" s="33"/>
      <c r="L109" s="34"/>
      <c r="M109" s="34"/>
      <c r="N109" s="33"/>
      <c r="O109" s="32"/>
      <c r="P109" s="33"/>
      <c r="Q109" s="33"/>
      <c r="R109" s="35"/>
    </row>
    <row r="110" spans="1:18" x14ac:dyDescent="0.3">
      <c r="A110" s="28"/>
      <c r="B110" s="29"/>
      <c r="C110" s="29"/>
      <c r="D110" s="29"/>
      <c r="E110" s="29"/>
      <c r="F110" s="29"/>
      <c r="G110" s="29"/>
      <c r="H110" s="29"/>
      <c r="I110" s="29"/>
      <c r="J110" s="29"/>
      <c r="K110" s="29"/>
      <c r="L110" s="30"/>
      <c r="M110" s="30"/>
      <c r="N110" s="29"/>
      <c r="O110" s="28"/>
      <c r="P110" s="29"/>
      <c r="Q110" s="29"/>
      <c r="R110" s="31"/>
    </row>
    <row r="111" spans="1:18" x14ac:dyDescent="0.3">
      <c r="A111" s="32"/>
      <c r="B111" s="33"/>
      <c r="C111" s="33"/>
      <c r="D111" s="33"/>
      <c r="E111" s="33"/>
      <c r="F111" s="33"/>
      <c r="G111" s="33"/>
      <c r="H111" s="33"/>
      <c r="I111" s="33"/>
      <c r="J111" s="33"/>
      <c r="K111" s="33"/>
      <c r="L111" s="34"/>
      <c r="M111" s="34"/>
      <c r="N111" s="33"/>
      <c r="O111" s="32"/>
      <c r="P111" s="33"/>
      <c r="Q111" s="33"/>
      <c r="R111" s="35"/>
    </row>
    <row r="112" spans="1:18" x14ac:dyDescent="0.3">
      <c r="A112" s="28"/>
      <c r="B112" s="29"/>
      <c r="C112" s="29"/>
      <c r="D112" s="29"/>
      <c r="E112" s="29"/>
      <c r="F112" s="29"/>
      <c r="G112" s="29"/>
      <c r="H112" s="29"/>
      <c r="I112" s="29"/>
      <c r="J112" s="29"/>
      <c r="K112" s="29"/>
      <c r="L112" s="30"/>
      <c r="M112" s="30"/>
      <c r="N112" s="29"/>
      <c r="O112" s="28"/>
      <c r="P112" s="29"/>
      <c r="Q112" s="29"/>
      <c r="R112" s="31"/>
    </row>
    <row r="113" spans="1:18" x14ac:dyDescent="0.3">
      <c r="A113" s="32"/>
      <c r="B113" s="33"/>
      <c r="C113" s="33"/>
      <c r="D113" s="33"/>
      <c r="E113" s="33"/>
      <c r="F113" s="33"/>
      <c r="G113" s="33"/>
      <c r="H113" s="33"/>
      <c r="I113" s="33"/>
      <c r="J113" s="33"/>
      <c r="K113" s="33"/>
      <c r="L113" s="34"/>
      <c r="M113" s="34"/>
      <c r="N113" s="33"/>
      <c r="O113" s="32"/>
      <c r="P113" s="33"/>
      <c r="Q113" s="33"/>
      <c r="R113" s="35"/>
    </row>
    <row r="114" spans="1:18" x14ac:dyDescent="0.3">
      <c r="A114" s="28"/>
      <c r="B114" s="29"/>
      <c r="C114" s="29"/>
      <c r="D114" s="29"/>
      <c r="E114" s="29"/>
      <c r="F114" s="29"/>
      <c r="G114" s="29"/>
      <c r="H114" s="29"/>
      <c r="I114" s="29"/>
      <c r="J114" s="29"/>
      <c r="K114" s="29"/>
      <c r="L114" s="30"/>
      <c r="M114" s="30"/>
      <c r="N114" s="29"/>
      <c r="O114" s="28"/>
      <c r="P114" s="29"/>
      <c r="Q114" s="29"/>
      <c r="R114" s="31"/>
    </row>
    <row r="115" spans="1:18" x14ac:dyDescent="0.3">
      <c r="A115" s="32"/>
      <c r="B115" s="33"/>
      <c r="C115" s="33"/>
      <c r="D115" s="33"/>
      <c r="E115" s="33"/>
      <c r="F115" s="33"/>
      <c r="G115" s="33"/>
      <c r="H115" s="33"/>
      <c r="I115" s="33"/>
      <c r="J115" s="33"/>
      <c r="K115" s="33"/>
      <c r="L115" s="34"/>
      <c r="M115" s="34"/>
      <c r="N115" s="33"/>
      <c r="O115" s="32"/>
      <c r="P115" s="33"/>
      <c r="Q115" s="33"/>
      <c r="R115" s="35"/>
    </row>
    <row r="116" spans="1:18" x14ac:dyDescent="0.3">
      <c r="A116" s="28"/>
      <c r="B116" s="29"/>
      <c r="C116" s="29"/>
      <c r="D116" s="29"/>
      <c r="E116" s="29"/>
      <c r="F116" s="29"/>
      <c r="G116" s="29"/>
      <c r="H116" s="29"/>
      <c r="I116" s="29"/>
      <c r="J116" s="29"/>
      <c r="K116" s="29"/>
      <c r="L116" s="30"/>
      <c r="M116" s="30"/>
      <c r="N116" s="29"/>
      <c r="O116" s="28"/>
      <c r="P116" s="29"/>
      <c r="Q116" s="29"/>
      <c r="R116" s="31"/>
    </row>
    <row r="117" spans="1:18" x14ac:dyDescent="0.3">
      <c r="A117" s="32"/>
      <c r="B117" s="33"/>
      <c r="C117" s="33"/>
      <c r="D117" s="33"/>
      <c r="E117" s="33"/>
      <c r="F117" s="33"/>
      <c r="G117" s="33"/>
      <c r="H117" s="33"/>
      <c r="I117" s="33"/>
      <c r="J117" s="33"/>
      <c r="K117" s="33"/>
      <c r="L117" s="34"/>
      <c r="M117" s="34"/>
      <c r="N117" s="33"/>
      <c r="O117" s="32"/>
      <c r="P117" s="33"/>
      <c r="Q117" s="33"/>
      <c r="R117" s="35"/>
    </row>
    <row r="118" spans="1:18" x14ac:dyDescent="0.3">
      <c r="A118" s="28"/>
      <c r="B118" s="29"/>
      <c r="C118" s="29"/>
      <c r="D118" s="29"/>
      <c r="E118" s="29"/>
      <c r="F118" s="29"/>
      <c r="G118" s="29"/>
      <c r="H118" s="29"/>
      <c r="I118" s="29"/>
      <c r="J118" s="29"/>
      <c r="K118" s="29"/>
      <c r="L118" s="30"/>
      <c r="M118" s="30"/>
      <c r="N118" s="29"/>
      <c r="O118" s="28"/>
      <c r="P118" s="29"/>
      <c r="Q118" s="29"/>
      <c r="R118" s="31"/>
    </row>
    <row r="119" spans="1:18" x14ac:dyDescent="0.3">
      <c r="A119" s="32"/>
      <c r="B119" s="33"/>
      <c r="C119" s="33"/>
      <c r="D119" s="33"/>
      <c r="E119" s="33"/>
      <c r="F119" s="33"/>
      <c r="G119" s="33"/>
      <c r="H119" s="33"/>
      <c r="I119" s="33"/>
      <c r="J119" s="33"/>
      <c r="K119" s="33"/>
      <c r="L119" s="34"/>
      <c r="M119" s="34"/>
      <c r="N119" s="33"/>
      <c r="O119" s="32"/>
      <c r="P119" s="33"/>
      <c r="Q119" s="33"/>
      <c r="R119" s="35"/>
    </row>
    <row r="120" spans="1:18" x14ac:dyDescent="0.3">
      <c r="A120" s="28"/>
      <c r="B120" s="29"/>
      <c r="C120" s="29"/>
      <c r="D120" s="29"/>
      <c r="E120" s="29"/>
      <c r="F120" s="29"/>
      <c r="G120" s="29"/>
      <c r="H120" s="29"/>
      <c r="I120" s="29"/>
      <c r="J120" s="29"/>
      <c r="K120" s="29"/>
      <c r="L120" s="30"/>
      <c r="M120" s="30"/>
      <c r="N120" s="29"/>
      <c r="O120" s="28"/>
      <c r="P120" s="29"/>
      <c r="Q120" s="29"/>
      <c r="R120" s="31"/>
    </row>
    <row r="121" spans="1:18" x14ac:dyDescent="0.3">
      <c r="A121" s="32"/>
      <c r="B121" s="33"/>
      <c r="C121" s="33"/>
      <c r="D121" s="33"/>
      <c r="E121" s="33"/>
      <c r="F121" s="33"/>
      <c r="G121" s="33"/>
      <c r="H121" s="33"/>
      <c r="I121" s="33"/>
      <c r="J121" s="33"/>
      <c r="K121" s="33"/>
      <c r="L121" s="34"/>
      <c r="M121" s="34"/>
      <c r="N121" s="33"/>
      <c r="O121" s="32"/>
      <c r="P121" s="33"/>
      <c r="Q121" s="33"/>
      <c r="R121" s="35"/>
    </row>
    <row r="122" spans="1:18" x14ac:dyDescent="0.3">
      <c r="A122" s="28"/>
      <c r="B122" s="29"/>
      <c r="C122" s="29"/>
      <c r="D122" s="29"/>
      <c r="E122" s="29"/>
      <c r="F122" s="29"/>
      <c r="G122" s="29"/>
      <c r="H122" s="29"/>
      <c r="I122" s="29"/>
      <c r="J122" s="29"/>
      <c r="K122" s="29"/>
      <c r="L122" s="30"/>
      <c r="M122" s="30"/>
      <c r="N122" s="29"/>
      <c r="O122" s="28"/>
      <c r="P122" s="29"/>
      <c r="Q122" s="29"/>
      <c r="R122" s="31"/>
    </row>
    <row r="123" spans="1:18" x14ac:dyDescent="0.3">
      <c r="A123" s="32"/>
      <c r="B123" s="33"/>
      <c r="C123" s="33"/>
      <c r="D123" s="33"/>
      <c r="E123" s="33"/>
      <c r="F123" s="33"/>
      <c r="G123" s="33"/>
      <c r="H123" s="33"/>
      <c r="I123" s="33"/>
      <c r="J123" s="33"/>
      <c r="K123" s="33"/>
      <c r="L123" s="34"/>
      <c r="M123" s="34"/>
      <c r="N123" s="33"/>
      <c r="O123" s="32"/>
      <c r="P123" s="33"/>
      <c r="Q123" s="33"/>
      <c r="R123" s="35"/>
    </row>
    <row r="124" spans="1:18" x14ac:dyDescent="0.3">
      <c r="A124" s="28"/>
      <c r="B124" s="29"/>
      <c r="C124" s="29"/>
      <c r="D124" s="29"/>
      <c r="E124" s="29"/>
      <c r="F124" s="29"/>
      <c r="G124" s="29"/>
      <c r="H124" s="29"/>
      <c r="I124" s="29"/>
      <c r="J124" s="29"/>
      <c r="K124" s="29"/>
      <c r="L124" s="30"/>
      <c r="M124" s="30"/>
      <c r="N124" s="29"/>
      <c r="O124" s="28"/>
      <c r="P124" s="29"/>
      <c r="Q124" s="29"/>
      <c r="R124" s="31"/>
    </row>
    <row r="125" spans="1:18" x14ac:dyDescent="0.3">
      <c r="A125" s="32"/>
      <c r="B125" s="33"/>
      <c r="C125" s="33"/>
      <c r="D125" s="33"/>
      <c r="E125" s="33"/>
      <c r="F125" s="33"/>
      <c r="G125" s="33"/>
      <c r="H125" s="33"/>
      <c r="I125" s="33"/>
      <c r="J125" s="33"/>
      <c r="K125" s="33"/>
      <c r="L125" s="34"/>
      <c r="M125" s="34"/>
      <c r="N125" s="33"/>
      <c r="O125" s="32"/>
      <c r="P125" s="33"/>
      <c r="Q125" s="33"/>
      <c r="R125" s="35"/>
    </row>
    <row r="126" spans="1:18" x14ac:dyDescent="0.3">
      <c r="A126" s="28"/>
      <c r="B126" s="29"/>
      <c r="C126" s="29"/>
      <c r="D126" s="29"/>
      <c r="E126" s="29"/>
      <c r="F126" s="29"/>
      <c r="G126" s="29"/>
      <c r="H126" s="29"/>
      <c r="I126" s="29"/>
      <c r="J126" s="29"/>
      <c r="K126" s="29"/>
      <c r="L126" s="30"/>
      <c r="M126" s="30"/>
      <c r="N126" s="29"/>
      <c r="O126" s="28"/>
      <c r="P126" s="29"/>
      <c r="Q126" s="29"/>
      <c r="R126" s="31"/>
    </row>
    <row r="127" spans="1:18" x14ac:dyDescent="0.3">
      <c r="A127" s="32"/>
      <c r="B127" s="33"/>
      <c r="C127" s="33"/>
      <c r="D127" s="33"/>
      <c r="E127" s="33"/>
      <c r="F127" s="33"/>
      <c r="G127" s="33"/>
      <c r="H127" s="33"/>
      <c r="I127" s="33"/>
      <c r="J127" s="33"/>
      <c r="K127" s="33"/>
      <c r="L127" s="34"/>
      <c r="M127" s="34"/>
      <c r="N127" s="33"/>
      <c r="O127" s="32"/>
      <c r="P127" s="33"/>
      <c r="Q127" s="33"/>
      <c r="R127" s="35"/>
    </row>
    <row r="128" spans="1:18" x14ac:dyDescent="0.3">
      <c r="A128" s="28"/>
      <c r="B128" s="29"/>
      <c r="C128" s="29"/>
      <c r="D128" s="29"/>
      <c r="E128" s="29"/>
      <c r="F128" s="29"/>
      <c r="G128" s="29"/>
      <c r="H128" s="29"/>
      <c r="I128" s="29"/>
      <c r="J128" s="29"/>
      <c r="K128" s="29"/>
      <c r="L128" s="30"/>
      <c r="M128" s="30"/>
      <c r="N128" s="29"/>
      <c r="O128" s="28"/>
      <c r="P128" s="29"/>
      <c r="Q128" s="29"/>
      <c r="R128" s="31"/>
    </row>
    <row r="129" spans="1:18" x14ac:dyDescent="0.3">
      <c r="A129" s="32"/>
      <c r="B129" s="33"/>
      <c r="C129" s="33"/>
      <c r="D129" s="33"/>
      <c r="E129" s="33"/>
      <c r="F129" s="33"/>
      <c r="G129" s="33"/>
      <c r="H129" s="33"/>
      <c r="I129" s="33"/>
      <c r="J129" s="33"/>
      <c r="K129" s="33"/>
      <c r="L129" s="34"/>
      <c r="M129" s="34"/>
      <c r="N129" s="33"/>
      <c r="O129" s="32"/>
      <c r="P129" s="33"/>
      <c r="Q129" s="33"/>
      <c r="R129" s="35"/>
    </row>
    <row r="130" spans="1:18" x14ac:dyDescent="0.3">
      <c r="A130" s="28"/>
      <c r="B130" s="29"/>
      <c r="C130" s="29"/>
      <c r="D130" s="29"/>
      <c r="E130" s="29"/>
      <c r="F130" s="29"/>
      <c r="G130" s="29"/>
      <c r="H130" s="29"/>
      <c r="I130" s="29"/>
      <c r="J130" s="29"/>
      <c r="K130" s="29"/>
      <c r="L130" s="30"/>
      <c r="M130" s="30"/>
      <c r="N130" s="29"/>
      <c r="O130" s="28"/>
      <c r="P130" s="29"/>
      <c r="Q130" s="29"/>
      <c r="R130" s="31"/>
    </row>
    <row r="131" spans="1:18" x14ac:dyDescent="0.3">
      <c r="A131" s="32"/>
      <c r="B131" s="33"/>
      <c r="C131" s="33"/>
      <c r="D131" s="33"/>
      <c r="E131" s="33"/>
      <c r="F131" s="33"/>
      <c r="G131" s="33"/>
      <c r="H131" s="33"/>
      <c r="I131" s="33"/>
      <c r="J131" s="33"/>
      <c r="K131" s="33"/>
      <c r="L131" s="34"/>
      <c r="M131" s="34"/>
      <c r="N131" s="33"/>
      <c r="O131" s="32"/>
      <c r="P131" s="33"/>
      <c r="Q131" s="33"/>
      <c r="R131" s="35"/>
    </row>
    <row r="132" spans="1:18" x14ac:dyDescent="0.3">
      <c r="A132" s="28"/>
      <c r="B132" s="29"/>
      <c r="C132" s="29"/>
      <c r="D132" s="29"/>
      <c r="E132" s="29"/>
      <c r="F132" s="29"/>
      <c r="G132" s="29"/>
      <c r="H132" s="29"/>
      <c r="I132" s="29"/>
      <c r="J132" s="29"/>
      <c r="K132" s="29"/>
      <c r="L132" s="30"/>
      <c r="M132" s="30"/>
      <c r="N132" s="29"/>
      <c r="O132" s="28"/>
      <c r="P132" s="29"/>
      <c r="Q132" s="29"/>
      <c r="R132" s="31"/>
    </row>
    <row r="133" spans="1:18" x14ac:dyDescent="0.3">
      <c r="A133" s="32"/>
      <c r="B133" s="33"/>
      <c r="C133" s="33"/>
      <c r="D133" s="33"/>
      <c r="E133" s="33"/>
      <c r="F133" s="33"/>
      <c r="G133" s="33"/>
      <c r="H133" s="33"/>
      <c r="I133" s="33"/>
      <c r="J133" s="33"/>
      <c r="K133" s="33"/>
      <c r="L133" s="34"/>
      <c r="M133" s="34"/>
      <c r="N133" s="33"/>
      <c r="O133" s="32"/>
      <c r="P133" s="33"/>
      <c r="Q133" s="33"/>
      <c r="R133" s="35"/>
    </row>
    <row r="134" spans="1:18" x14ac:dyDescent="0.3">
      <c r="A134" s="28"/>
      <c r="B134" s="29"/>
      <c r="C134" s="29"/>
      <c r="D134" s="29"/>
      <c r="E134" s="29"/>
      <c r="F134" s="29"/>
      <c r="G134" s="29"/>
      <c r="H134" s="29"/>
      <c r="I134" s="29"/>
      <c r="J134" s="29"/>
      <c r="K134" s="29"/>
      <c r="L134" s="30"/>
      <c r="M134" s="30"/>
      <c r="N134" s="29"/>
      <c r="O134" s="28"/>
      <c r="P134" s="29"/>
      <c r="Q134" s="29"/>
      <c r="R134" s="31"/>
    </row>
    <row r="135" spans="1:18" x14ac:dyDescent="0.3">
      <c r="A135" s="32"/>
      <c r="B135" s="33"/>
      <c r="C135" s="33"/>
      <c r="D135" s="33"/>
      <c r="E135" s="33"/>
      <c r="F135" s="33"/>
      <c r="G135" s="33"/>
      <c r="H135" s="33"/>
      <c r="I135" s="33"/>
      <c r="J135" s="33"/>
      <c r="K135" s="33"/>
      <c r="L135" s="34"/>
      <c r="M135" s="34"/>
      <c r="N135" s="33"/>
      <c r="O135" s="32"/>
      <c r="P135" s="33"/>
      <c r="Q135" s="33"/>
      <c r="R135" s="35"/>
    </row>
    <row r="136" spans="1:18" x14ac:dyDescent="0.3">
      <c r="A136" s="28"/>
      <c r="B136" s="29"/>
      <c r="C136" s="29"/>
      <c r="D136" s="29"/>
      <c r="E136" s="29"/>
      <c r="F136" s="29"/>
      <c r="G136" s="29"/>
      <c r="H136" s="29"/>
      <c r="I136" s="29"/>
      <c r="J136" s="29"/>
      <c r="K136" s="29"/>
      <c r="L136" s="30"/>
      <c r="M136" s="30"/>
      <c r="N136" s="29"/>
      <c r="O136" s="28"/>
      <c r="P136" s="29"/>
      <c r="Q136" s="29"/>
      <c r="R136" s="31"/>
    </row>
    <row r="137" spans="1:18" x14ac:dyDescent="0.3">
      <c r="A137" s="32"/>
      <c r="B137" s="33"/>
      <c r="C137" s="33"/>
      <c r="D137" s="33"/>
      <c r="E137" s="33"/>
      <c r="F137" s="33"/>
      <c r="G137" s="33"/>
      <c r="H137" s="33"/>
      <c r="I137" s="33"/>
      <c r="J137" s="33"/>
      <c r="K137" s="33"/>
      <c r="L137" s="34"/>
      <c r="M137" s="34"/>
      <c r="N137" s="33"/>
      <c r="O137" s="32"/>
      <c r="P137" s="33"/>
      <c r="Q137" s="33"/>
      <c r="R137" s="35"/>
    </row>
    <row r="138" spans="1:18" x14ac:dyDescent="0.3">
      <c r="A138" s="28"/>
      <c r="B138" s="29"/>
      <c r="C138" s="29"/>
      <c r="D138" s="29"/>
      <c r="E138" s="29"/>
      <c r="F138" s="29"/>
      <c r="G138" s="29"/>
      <c r="H138" s="29"/>
      <c r="I138" s="29"/>
      <c r="J138" s="29"/>
      <c r="K138" s="29"/>
      <c r="L138" s="30"/>
      <c r="M138" s="30"/>
      <c r="N138" s="29"/>
      <c r="O138" s="28"/>
      <c r="P138" s="29"/>
      <c r="Q138" s="29"/>
      <c r="R138" s="31"/>
    </row>
    <row r="139" spans="1:18" x14ac:dyDescent="0.3">
      <c r="A139" s="32"/>
      <c r="B139" s="33"/>
      <c r="C139" s="33"/>
      <c r="D139" s="33"/>
      <c r="E139" s="33"/>
      <c r="F139" s="33"/>
      <c r="G139" s="33"/>
      <c r="H139" s="33"/>
      <c r="I139" s="33"/>
      <c r="J139" s="33"/>
      <c r="K139" s="33"/>
      <c r="L139" s="34"/>
      <c r="M139" s="34"/>
      <c r="N139" s="33"/>
      <c r="O139" s="32"/>
      <c r="P139" s="33"/>
      <c r="Q139" s="33"/>
      <c r="R139" s="35"/>
    </row>
    <row r="140" spans="1:18" x14ac:dyDescent="0.3">
      <c r="A140" s="28"/>
      <c r="B140" s="29"/>
      <c r="C140" s="29"/>
      <c r="D140" s="29"/>
      <c r="E140" s="29"/>
      <c r="F140" s="29"/>
      <c r="G140" s="29"/>
      <c r="H140" s="29"/>
      <c r="I140" s="29"/>
      <c r="J140" s="29"/>
      <c r="K140" s="29"/>
      <c r="L140" s="30"/>
      <c r="M140" s="30"/>
      <c r="N140" s="29"/>
      <c r="O140" s="28"/>
      <c r="P140" s="29"/>
      <c r="Q140" s="29"/>
      <c r="R140" s="31"/>
    </row>
    <row r="141" spans="1:18" x14ac:dyDescent="0.3">
      <c r="A141" s="32"/>
      <c r="B141" s="33"/>
      <c r="C141" s="33"/>
      <c r="D141" s="33"/>
      <c r="E141" s="33"/>
      <c r="F141" s="33"/>
      <c r="G141" s="33"/>
      <c r="H141" s="33"/>
      <c r="I141" s="33"/>
      <c r="J141" s="33"/>
      <c r="K141" s="33"/>
      <c r="L141" s="34"/>
      <c r="M141" s="34"/>
      <c r="N141" s="33"/>
      <c r="O141" s="32"/>
      <c r="P141" s="33"/>
      <c r="Q141" s="33"/>
      <c r="R141" s="35"/>
    </row>
    <row r="142" spans="1:18" x14ac:dyDescent="0.3">
      <c r="A142" s="28"/>
      <c r="B142" s="29"/>
      <c r="C142" s="29"/>
      <c r="D142" s="29"/>
      <c r="E142" s="29"/>
      <c r="F142" s="29"/>
      <c r="G142" s="29"/>
      <c r="H142" s="29"/>
      <c r="I142" s="29"/>
      <c r="J142" s="29"/>
      <c r="K142" s="29"/>
      <c r="L142" s="30"/>
      <c r="M142" s="30"/>
      <c r="N142" s="29"/>
      <c r="O142" s="28"/>
      <c r="P142" s="29"/>
      <c r="Q142" s="29"/>
      <c r="R142" s="31"/>
    </row>
    <row r="143" spans="1:18" x14ac:dyDescent="0.3">
      <c r="A143" s="32"/>
      <c r="B143" s="33"/>
      <c r="C143" s="33"/>
      <c r="D143" s="33"/>
      <c r="E143" s="33"/>
      <c r="F143" s="33"/>
      <c r="G143" s="33"/>
      <c r="H143" s="33"/>
      <c r="I143" s="33"/>
      <c r="J143" s="33"/>
      <c r="K143" s="33"/>
      <c r="L143" s="34"/>
      <c r="M143" s="34"/>
      <c r="N143" s="33"/>
      <c r="O143" s="32"/>
      <c r="P143" s="33"/>
      <c r="Q143" s="33"/>
      <c r="R143" s="35"/>
    </row>
    <row r="144" spans="1:18" x14ac:dyDescent="0.3">
      <c r="A144" s="28"/>
      <c r="B144" s="29"/>
      <c r="C144" s="29"/>
      <c r="D144" s="29"/>
      <c r="E144" s="29"/>
      <c r="F144" s="29"/>
      <c r="G144" s="29"/>
      <c r="H144" s="29"/>
      <c r="I144" s="29"/>
      <c r="J144" s="29"/>
      <c r="K144" s="29"/>
      <c r="L144" s="30"/>
      <c r="M144" s="30"/>
      <c r="N144" s="29"/>
      <c r="O144" s="28"/>
      <c r="P144" s="29"/>
      <c r="Q144" s="29"/>
      <c r="R144" s="31"/>
    </row>
    <row r="145" spans="1:18" x14ac:dyDescent="0.3">
      <c r="A145" s="32"/>
      <c r="B145" s="33"/>
      <c r="C145" s="33"/>
      <c r="D145" s="33"/>
      <c r="E145" s="33"/>
      <c r="F145" s="33"/>
      <c r="G145" s="33"/>
      <c r="H145" s="33"/>
      <c r="I145" s="33"/>
      <c r="J145" s="33"/>
      <c r="K145" s="33"/>
      <c r="L145" s="34"/>
      <c r="M145" s="34"/>
      <c r="N145" s="33"/>
      <c r="O145" s="32"/>
      <c r="P145" s="33"/>
      <c r="Q145" s="33"/>
      <c r="R145" s="35"/>
    </row>
    <row r="146" spans="1:18" x14ac:dyDescent="0.3">
      <c r="A146" s="28"/>
      <c r="B146" s="29"/>
      <c r="C146" s="29"/>
      <c r="D146" s="29"/>
      <c r="E146" s="29"/>
      <c r="F146" s="29"/>
      <c r="G146" s="29"/>
      <c r="H146" s="29"/>
      <c r="I146" s="29"/>
      <c r="J146" s="29"/>
      <c r="K146" s="29"/>
      <c r="L146" s="30"/>
      <c r="M146" s="30"/>
      <c r="N146" s="29"/>
      <c r="O146" s="28"/>
      <c r="P146" s="29"/>
      <c r="Q146" s="29"/>
      <c r="R146" s="31"/>
    </row>
    <row r="147" spans="1:18" x14ac:dyDescent="0.3">
      <c r="A147" s="32"/>
      <c r="B147" s="33"/>
      <c r="C147" s="33"/>
      <c r="D147" s="33"/>
      <c r="E147" s="33"/>
      <c r="F147" s="33"/>
      <c r="G147" s="33"/>
      <c r="H147" s="33"/>
      <c r="I147" s="33"/>
      <c r="J147" s="33"/>
      <c r="K147" s="33"/>
      <c r="L147" s="34"/>
      <c r="M147" s="34"/>
      <c r="N147" s="33"/>
      <c r="O147" s="32"/>
      <c r="P147" s="33"/>
      <c r="Q147" s="33"/>
      <c r="R147" s="35"/>
    </row>
    <row r="148" spans="1:18" x14ac:dyDescent="0.3">
      <c r="A148" s="28"/>
      <c r="B148" s="29"/>
      <c r="C148" s="29"/>
      <c r="D148" s="29"/>
      <c r="E148" s="29"/>
      <c r="F148" s="29"/>
      <c r="G148" s="29"/>
      <c r="H148" s="29"/>
      <c r="I148" s="29"/>
      <c r="J148" s="29"/>
      <c r="K148" s="29"/>
      <c r="L148" s="30"/>
      <c r="M148" s="30"/>
      <c r="N148" s="29"/>
      <c r="O148" s="28"/>
      <c r="P148" s="29"/>
      <c r="Q148" s="29"/>
      <c r="R148" s="31"/>
    </row>
    <row r="149" spans="1:18" x14ac:dyDescent="0.3">
      <c r="A149" s="32"/>
      <c r="B149" s="33"/>
      <c r="C149" s="33"/>
      <c r="D149" s="33"/>
      <c r="E149" s="33"/>
      <c r="F149" s="33"/>
      <c r="G149" s="33"/>
      <c r="H149" s="33"/>
      <c r="I149" s="33"/>
      <c r="J149" s="33"/>
      <c r="K149" s="33"/>
      <c r="L149" s="34"/>
      <c r="M149" s="34"/>
      <c r="N149" s="33"/>
      <c r="O149" s="32"/>
      <c r="P149" s="33"/>
      <c r="Q149" s="33"/>
      <c r="R149" s="35"/>
    </row>
    <row r="150" spans="1:18" x14ac:dyDescent="0.3">
      <c r="A150" s="28"/>
      <c r="B150" s="29"/>
      <c r="C150" s="29"/>
      <c r="D150" s="29"/>
      <c r="E150" s="29"/>
      <c r="F150" s="29"/>
      <c r="G150" s="29"/>
      <c r="H150" s="29"/>
      <c r="I150" s="29"/>
      <c r="J150" s="29"/>
      <c r="K150" s="29"/>
      <c r="L150" s="30"/>
      <c r="M150" s="30"/>
      <c r="N150" s="29"/>
      <c r="O150" s="28"/>
      <c r="P150" s="29"/>
      <c r="Q150" s="29"/>
      <c r="R150" s="31"/>
    </row>
    <row r="151" spans="1:18" x14ac:dyDescent="0.3">
      <c r="A151" s="32"/>
      <c r="B151" s="33"/>
      <c r="C151" s="33"/>
      <c r="D151" s="33"/>
      <c r="E151" s="33"/>
      <c r="F151" s="33"/>
      <c r="G151" s="33"/>
      <c r="H151" s="33"/>
      <c r="I151" s="33"/>
      <c r="J151" s="33"/>
      <c r="K151" s="33"/>
      <c r="L151" s="34"/>
      <c r="M151" s="34"/>
      <c r="N151" s="33"/>
      <c r="O151" s="32"/>
      <c r="P151" s="33"/>
      <c r="Q151" s="33"/>
      <c r="R151" s="35"/>
    </row>
    <row r="152" spans="1:18" x14ac:dyDescent="0.3">
      <c r="A152" s="28"/>
      <c r="B152" s="29"/>
      <c r="C152" s="29"/>
      <c r="D152" s="29"/>
      <c r="E152" s="29"/>
      <c r="F152" s="29"/>
      <c r="G152" s="29"/>
      <c r="H152" s="29"/>
      <c r="I152" s="29"/>
      <c r="J152" s="29"/>
      <c r="K152" s="29"/>
      <c r="L152" s="30"/>
      <c r="M152" s="30"/>
      <c r="N152" s="29"/>
      <c r="O152" s="28"/>
      <c r="P152" s="29"/>
      <c r="Q152" s="29"/>
      <c r="R152" s="31"/>
    </row>
    <row r="153" spans="1:18" x14ac:dyDescent="0.3">
      <c r="A153" s="32"/>
      <c r="B153" s="33"/>
      <c r="C153" s="33"/>
      <c r="D153" s="33"/>
      <c r="E153" s="33"/>
      <c r="F153" s="33"/>
      <c r="G153" s="33"/>
      <c r="H153" s="33"/>
      <c r="I153" s="33"/>
      <c r="J153" s="33"/>
      <c r="K153" s="33"/>
      <c r="L153" s="34"/>
      <c r="M153" s="34"/>
      <c r="N153" s="33"/>
      <c r="O153" s="32"/>
      <c r="P153" s="33"/>
      <c r="Q153" s="33"/>
      <c r="R153" s="35"/>
    </row>
    <row r="154" spans="1:18" x14ac:dyDescent="0.3">
      <c r="A154" s="28"/>
      <c r="B154" s="29"/>
      <c r="C154" s="29"/>
      <c r="D154" s="29"/>
      <c r="E154" s="29"/>
      <c r="F154" s="29"/>
      <c r="G154" s="29"/>
      <c r="H154" s="29"/>
      <c r="I154" s="29"/>
      <c r="J154" s="29"/>
      <c r="K154" s="29"/>
      <c r="L154" s="30"/>
      <c r="M154" s="30"/>
      <c r="N154" s="29"/>
      <c r="O154" s="28"/>
      <c r="P154" s="29"/>
      <c r="Q154" s="29"/>
      <c r="R154" s="31"/>
    </row>
    <row r="155" spans="1:18" x14ac:dyDescent="0.3">
      <c r="A155" s="32"/>
      <c r="B155" s="33"/>
      <c r="C155" s="33"/>
      <c r="D155" s="33"/>
      <c r="E155" s="33"/>
      <c r="F155" s="33"/>
      <c r="G155" s="33"/>
      <c r="H155" s="33"/>
      <c r="I155" s="33"/>
      <c r="J155" s="33"/>
      <c r="K155" s="33"/>
      <c r="L155" s="34"/>
      <c r="M155" s="34"/>
      <c r="N155" s="33"/>
      <c r="O155" s="32"/>
      <c r="P155" s="33"/>
      <c r="Q155" s="33"/>
      <c r="R155" s="35"/>
    </row>
    <row r="156" spans="1:18" x14ac:dyDescent="0.3">
      <c r="A156" s="28"/>
      <c r="B156" s="29"/>
      <c r="C156" s="29"/>
      <c r="D156" s="29"/>
      <c r="E156" s="29"/>
      <c r="F156" s="29"/>
      <c r="G156" s="29"/>
      <c r="H156" s="29"/>
      <c r="I156" s="29"/>
      <c r="J156" s="29"/>
      <c r="K156" s="29"/>
      <c r="L156" s="30"/>
      <c r="M156" s="30"/>
      <c r="N156" s="29"/>
      <c r="O156" s="28"/>
      <c r="P156" s="29"/>
      <c r="Q156" s="29"/>
      <c r="R156" s="31"/>
    </row>
    <row r="157" spans="1:18" x14ac:dyDescent="0.3">
      <c r="A157" s="32"/>
      <c r="B157" s="33"/>
      <c r="C157" s="33"/>
      <c r="D157" s="33"/>
      <c r="E157" s="33"/>
      <c r="F157" s="33"/>
      <c r="G157" s="33"/>
      <c r="H157" s="33"/>
      <c r="I157" s="33"/>
      <c r="J157" s="33"/>
      <c r="K157" s="33"/>
      <c r="L157" s="34"/>
      <c r="M157" s="34"/>
      <c r="N157" s="33"/>
      <c r="O157" s="32"/>
      <c r="P157" s="33"/>
      <c r="Q157" s="33"/>
      <c r="R157" s="35"/>
    </row>
    <row r="158" spans="1:18" x14ac:dyDescent="0.3">
      <c r="A158" s="28"/>
      <c r="B158" s="29"/>
      <c r="C158" s="29"/>
      <c r="D158" s="29"/>
      <c r="E158" s="29"/>
      <c r="F158" s="29"/>
      <c r="G158" s="29"/>
      <c r="H158" s="29"/>
      <c r="I158" s="29"/>
      <c r="J158" s="29"/>
      <c r="K158" s="29"/>
      <c r="L158" s="30"/>
      <c r="M158" s="30"/>
      <c r="N158" s="29"/>
      <c r="O158" s="28"/>
      <c r="P158" s="29"/>
      <c r="Q158" s="29"/>
      <c r="R158" s="31"/>
    </row>
    <row r="159" spans="1:18" x14ac:dyDescent="0.3">
      <c r="A159" s="32"/>
      <c r="B159" s="33"/>
      <c r="C159" s="33"/>
      <c r="D159" s="33"/>
      <c r="E159" s="33"/>
      <c r="F159" s="33"/>
      <c r="G159" s="33"/>
      <c r="H159" s="33"/>
      <c r="I159" s="33"/>
      <c r="J159" s="33"/>
      <c r="K159" s="33"/>
      <c r="L159" s="34"/>
      <c r="M159" s="34"/>
      <c r="N159" s="33"/>
      <c r="O159" s="32"/>
      <c r="P159" s="33"/>
      <c r="Q159" s="33"/>
      <c r="R159" s="35"/>
    </row>
    <row r="160" spans="1:18" x14ac:dyDescent="0.3">
      <c r="A160" s="28"/>
      <c r="B160" s="29"/>
      <c r="C160" s="29"/>
      <c r="D160" s="29"/>
      <c r="E160" s="29"/>
      <c r="F160" s="29"/>
      <c r="G160" s="29"/>
      <c r="H160" s="29"/>
      <c r="I160" s="29"/>
      <c r="J160" s="29"/>
      <c r="K160" s="29"/>
      <c r="L160" s="30"/>
      <c r="M160" s="30"/>
      <c r="N160" s="29"/>
      <c r="O160" s="28"/>
      <c r="P160" s="29"/>
      <c r="Q160" s="29"/>
      <c r="R160" s="31"/>
    </row>
    <row r="161" spans="1:18" x14ac:dyDescent="0.3">
      <c r="A161" s="32"/>
      <c r="B161" s="33"/>
      <c r="C161" s="33"/>
      <c r="D161" s="33"/>
      <c r="E161" s="33"/>
      <c r="F161" s="33"/>
      <c r="G161" s="33"/>
      <c r="H161" s="33"/>
      <c r="I161" s="33"/>
      <c r="J161" s="33"/>
      <c r="K161" s="33"/>
      <c r="L161" s="34"/>
      <c r="M161" s="34"/>
      <c r="N161" s="33"/>
      <c r="O161" s="32"/>
      <c r="P161" s="33"/>
      <c r="Q161" s="33"/>
      <c r="R161" s="35"/>
    </row>
    <row r="162" spans="1:18" x14ac:dyDescent="0.3">
      <c r="A162" s="28"/>
      <c r="B162" s="29"/>
      <c r="C162" s="29"/>
      <c r="D162" s="29"/>
      <c r="E162" s="29"/>
      <c r="F162" s="29"/>
      <c r="G162" s="29"/>
      <c r="H162" s="29"/>
      <c r="I162" s="29"/>
      <c r="J162" s="29"/>
      <c r="K162" s="29"/>
      <c r="L162" s="30"/>
      <c r="M162" s="30"/>
      <c r="N162" s="29"/>
      <c r="O162" s="28"/>
      <c r="P162" s="29"/>
      <c r="Q162" s="29"/>
      <c r="R162" s="31"/>
    </row>
    <row r="163" spans="1:18" x14ac:dyDescent="0.3">
      <c r="A163" s="32"/>
      <c r="B163" s="33"/>
      <c r="C163" s="33"/>
      <c r="D163" s="33"/>
      <c r="E163" s="33"/>
      <c r="F163" s="33"/>
      <c r="G163" s="33"/>
      <c r="H163" s="33"/>
      <c r="I163" s="33"/>
      <c r="J163" s="33"/>
      <c r="K163" s="33"/>
      <c r="L163" s="34"/>
      <c r="M163" s="34"/>
      <c r="N163" s="33"/>
      <c r="O163" s="32"/>
      <c r="P163" s="33"/>
      <c r="Q163" s="33"/>
      <c r="R163" s="35"/>
    </row>
    <row r="164" spans="1:18" x14ac:dyDescent="0.3">
      <c r="A164" s="28"/>
      <c r="B164" s="29"/>
      <c r="C164" s="29"/>
      <c r="D164" s="29"/>
      <c r="E164" s="29"/>
      <c r="F164" s="29"/>
      <c r="G164" s="29"/>
      <c r="H164" s="29"/>
      <c r="I164" s="29"/>
      <c r="J164" s="29"/>
      <c r="K164" s="29"/>
      <c r="L164" s="30"/>
      <c r="M164" s="30"/>
      <c r="N164" s="29"/>
      <c r="O164" s="28"/>
      <c r="P164" s="29"/>
      <c r="Q164" s="29"/>
      <c r="R164" s="31"/>
    </row>
    <row r="165" spans="1:18" x14ac:dyDescent="0.3">
      <c r="A165" s="32"/>
      <c r="B165" s="33"/>
      <c r="C165" s="33"/>
      <c r="D165" s="33"/>
      <c r="E165" s="33"/>
      <c r="F165" s="33"/>
      <c r="G165" s="33"/>
      <c r="H165" s="33"/>
      <c r="I165" s="33"/>
      <c r="J165" s="33"/>
      <c r="K165" s="33"/>
      <c r="L165" s="34"/>
      <c r="M165" s="34"/>
      <c r="N165" s="33"/>
      <c r="O165" s="32"/>
      <c r="P165" s="33"/>
      <c r="Q165" s="33"/>
      <c r="R165" s="35"/>
    </row>
    <row r="166" spans="1:18" x14ac:dyDescent="0.3">
      <c r="A166" s="28"/>
      <c r="B166" s="29"/>
      <c r="C166" s="29"/>
      <c r="D166" s="29"/>
      <c r="E166" s="29"/>
      <c r="F166" s="29"/>
      <c r="G166" s="29"/>
      <c r="H166" s="29"/>
      <c r="I166" s="29"/>
      <c r="J166" s="29"/>
      <c r="K166" s="29"/>
      <c r="L166" s="30"/>
      <c r="M166" s="30"/>
      <c r="N166" s="29"/>
      <c r="O166" s="28"/>
      <c r="P166" s="29"/>
      <c r="Q166" s="29"/>
      <c r="R166" s="31"/>
    </row>
    <row r="167" spans="1:18" x14ac:dyDescent="0.3">
      <c r="A167" s="32"/>
      <c r="B167" s="33"/>
      <c r="C167" s="33"/>
      <c r="D167" s="33"/>
      <c r="E167" s="33"/>
      <c r="F167" s="33"/>
      <c r="G167" s="33"/>
      <c r="H167" s="33"/>
      <c r="I167" s="33"/>
      <c r="J167" s="33"/>
      <c r="K167" s="33"/>
      <c r="L167" s="34"/>
      <c r="M167" s="34"/>
      <c r="N167" s="33"/>
      <c r="O167" s="32"/>
      <c r="P167" s="33"/>
      <c r="Q167" s="33"/>
      <c r="R167" s="35"/>
    </row>
    <row r="168" spans="1:18" x14ac:dyDescent="0.3">
      <c r="A168" s="28"/>
      <c r="B168" s="29"/>
      <c r="C168" s="29"/>
      <c r="D168" s="29"/>
      <c r="E168" s="29"/>
      <c r="F168" s="29"/>
      <c r="G168" s="29"/>
      <c r="H168" s="29"/>
      <c r="I168" s="29"/>
      <c r="J168" s="29"/>
      <c r="K168" s="29"/>
      <c r="L168" s="30"/>
      <c r="M168" s="30"/>
      <c r="N168" s="29"/>
      <c r="O168" s="28"/>
      <c r="P168" s="29"/>
      <c r="Q168" s="29"/>
      <c r="R168" s="31"/>
    </row>
    <row r="169" spans="1:18" x14ac:dyDescent="0.3">
      <c r="A169" s="32"/>
      <c r="B169" s="33"/>
      <c r="C169" s="33"/>
      <c r="D169" s="33"/>
      <c r="E169" s="33"/>
      <c r="F169" s="33"/>
      <c r="G169" s="33"/>
      <c r="H169" s="33"/>
      <c r="I169" s="33"/>
      <c r="J169" s="33"/>
      <c r="K169" s="33"/>
      <c r="L169" s="34"/>
      <c r="M169" s="34"/>
      <c r="N169" s="33"/>
      <c r="O169" s="32"/>
      <c r="P169" s="33"/>
      <c r="Q169" s="33"/>
      <c r="R169" s="35"/>
    </row>
    <row r="170" spans="1:18" x14ac:dyDescent="0.3">
      <c r="A170" s="28"/>
      <c r="B170" s="29"/>
      <c r="C170" s="29"/>
      <c r="D170" s="29"/>
      <c r="E170" s="29"/>
      <c r="F170" s="29"/>
      <c r="G170" s="29"/>
      <c r="H170" s="29"/>
      <c r="I170" s="29"/>
      <c r="J170" s="29"/>
      <c r="K170" s="29"/>
      <c r="L170" s="30"/>
      <c r="M170" s="30"/>
      <c r="N170" s="29"/>
      <c r="O170" s="28"/>
      <c r="P170" s="29"/>
      <c r="Q170" s="29"/>
      <c r="R170" s="31"/>
    </row>
    <row r="171" spans="1:18" x14ac:dyDescent="0.3">
      <c r="A171" s="32"/>
      <c r="B171" s="33"/>
      <c r="C171" s="33"/>
      <c r="D171" s="33"/>
      <c r="E171" s="33"/>
      <c r="F171" s="33"/>
      <c r="G171" s="33"/>
      <c r="H171" s="33"/>
      <c r="I171" s="33"/>
      <c r="J171" s="33"/>
      <c r="K171" s="33"/>
      <c r="L171" s="34"/>
      <c r="M171" s="34"/>
      <c r="N171" s="33"/>
      <c r="O171" s="32"/>
      <c r="P171" s="33"/>
      <c r="Q171" s="33"/>
      <c r="R171" s="35"/>
    </row>
    <row r="172" spans="1:18" x14ac:dyDescent="0.3">
      <c r="A172" s="28"/>
      <c r="B172" s="29"/>
      <c r="C172" s="29"/>
      <c r="D172" s="29"/>
      <c r="E172" s="29"/>
      <c r="F172" s="29"/>
      <c r="G172" s="29"/>
      <c r="H172" s="29"/>
      <c r="I172" s="29"/>
      <c r="J172" s="29"/>
      <c r="K172" s="29"/>
      <c r="L172" s="30"/>
      <c r="M172" s="30"/>
      <c r="N172" s="29"/>
      <c r="O172" s="28"/>
      <c r="P172" s="29"/>
      <c r="Q172" s="29"/>
      <c r="R172" s="31"/>
    </row>
    <row r="173" spans="1:18" x14ac:dyDescent="0.3">
      <c r="A173" s="32"/>
      <c r="B173" s="33"/>
      <c r="C173" s="33"/>
      <c r="D173" s="33"/>
      <c r="E173" s="33"/>
      <c r="F173" s="33"/>
      <c r="G173" s="33"/>
      <c r="H173" s="33"/>
      <c r="I173" s="33"/>
      <c r="J173" s="33"/>
      <c r="K173" s="33"/>
      <c r="L173" s="34"/>
      <c r="M173" s="34"/>
      <c r="N173" s="33"/>
      <c r="O173" s="32"/>
      <c r="P173" s="33"/>
      <c r="Q173" s="33"/>
      <c r="R173" s="35"/>
    </row>
    <row r="174" spans="1:18" x14ac:dyDescent="0.3">
      <c r="A174" s="28"/>
      <c r="B174" s="29"/>
      <c r="C174" s="29"/>
      <c r="D174" s="29"/>
      <c r="E174" s="29"/>
      <c r="F174" s="29"/>
      <c r="G174" s="29"/>
      <c r="H174" s="29"/>
      <c r="I174" s="29"/>
      <c r="J174" s="29"/>
      <c r="K174" s="29"/>
      <c r="L174" s="30"/>
      <c r="M174" s="30"/>
      <c r="N174" s="29"/>
      <c r="O174" s="28"/>
      <c r="P174" s="29"/>
      <c r="Q174" s="29"/>
      <c r="R174" s="31"/>
    </row>
    <row r="175" spans="1:18" x14ac:dyDescent="0.3">
      <c r="A175" s="32"/>
      <c r="B175" s="33"/>
      <c r="C175" s="33"/>
      <c r="D175" s="33"/>
      <c r="E175" s="33"/>
      <c r="F175" s="33"/>
      <c r="G175" s="33"/>
      <c r="H175" s="33"/>
      <c r="I175" s="33"/>
      <c r="J175" s="33"/>
      <c r="K175" s="33"/>
      <c r="L175" s="34"/>
      <c r="M175" s="34"/>
      <c r="N175" s="33"/>
      <c r="O175" s="32"/>
      <c r="P175" s="33"/>
      <c r="Q175" s="33"/>
      <c r="R175" s="35"/>
    </row>
    <row r="176" spans="1:18" x14ac:dyDescent="0.3">
      <c r="A176" s="28"/>
      <c r="B176" s="29"/>
      <c r="C176" s="29"/>
      <c r="D176" s="29"/>
      <c r="E176" s="29"/>
      <c r="F176" s="29"/>
      <c r="G176" s="29"/>
      <c r="H176" s="29"/>
      <c r="I176" s="29"/>
      <c r="J176" s="29"/>
      <c r="K176" s="29"/>
      <c r="L176" s="30"/>
      <c r="M176" s="30"/>
      <c r="N176" s="29"/>
      <c r="O176" s="28"/>
      <c r="P176" s="29"/>
      <c r="Q176" s="29"/>
      <c r="R176" s="31"/>
    </row>
    <row r="177" spans="1:18" x14ac:dyDescent="0.3">
      <c r="A177" s="32"/>
      <c r="B177" s="33"/>
      <c r="C177" s="33"/>
      <c r="D177" s="33"/>
      <c r="E177" s="33"/>
      <c r="F177" s="33"/>
      <c r="G177" s="33"/>
      <c r="H177" s="33"/>
      <c r="I177" s="33"/>
      <c r="J177" s="33"/>
      <c r="K177" s="33"/>
      <c r="L177" s="34"/>
      <c r="M177" s="34"/>
      <c r="N177" s="33"/>
      <c r="O177" s="32"/>
      <c r="P177" s="33"/>
      <c r="Q177" s="33"/>
      <c r="R177" s="35"/>
    </row>
    <row r="178" spans="1:18" x14ac:dyDescent="0.3">
      <c r="A178" s="28"/>
      <c r="B178" s="29"/>
      <c r="C178" s="29"/>
      <c r="D178" s="29"/>
      <c r="E178" s="29"/>
      <c r="F178" s="29"/>
      <c r="G178" s="29"/>
      <c r="H178" s="29"/>
      <c r="I178" s="29"/>
      <c r="J178" s="29"/>
      <c r="K178" s="29"/>
      <c r="L178" s="30"/>
      <c r="M178" s="30"/>
      <c r="N178" s="29"/>
      <c r="O178" s="28"/>
      <c r="P178" s="29"/>
      <c r="Q178" s="29"/>
      <c r="R178" s="31"/>
    </row>
    <row r="179" spans="1:18" x14ac:dyDescent="0.3">
      <c r="A179" s="32"/>
      <c r="B179" s="33"/>
      <c r="C179" s="33"/>
      <c r="D179" s="33"/>
      <c r="E179" s="33"/>
      <c r="F179" s="33"/>
      <c r="G179" s="33"/>
      <c r="H179" s="33"/>
      <c r="I179" s="33"/>
      <c r="J179" s="33"/>
      <c r="K179" s="33"/>
      <c r="L179" s="34"/>
      <c r="M179" s="34"/>
      <c r="N179" s="33"/>
      <c r="O179" s="32"/>
      <c r="P179" s="33"/>
      <c r="Q179" s="33"/>
      <c r="R179" s="35"/>
    </row>
    <row r="180" spans="1:18" x14ac:dyDescent="0.3">
      <c r="A180" s="28"/>
      <c r="B180" s="29"/>
      <c r="C180" s="29"/>
      <c r="D180" s="29"/>
      <c r="E180" s="29"/>
      <c r="F180" s="29"/>
      <c r="G180" s="29"/>
      <c r="H180" s="29"/>
      <c r="I180" s="29"/>
      <c r="J180" s="29"/>
      <c r="K180" s="29"/>
      <c r="L180" s="30"/>
      <c r="M180" s="30"/>
      <c r="N180" s="29"/>
      <c r="O180" s="28"/>
      <c r="P180" s="29"/>
      <c r="Q180" s="29"/>
      <c r="R180" s="31"/>
    </row>
    <row r="181" spans="1:18" x14ac:dyDescent="0.3">
      <c r="A181" s="32"/>
      <c r="B181" s="33"/>
      <c r="C181" s="33"/>
      <c r="D181" s="33"/>
      <c r="E181" s="33"/>
      <c r="F181" s="33"/>
      <c r="G181" s="33"/>
      <c r="H181" s="33"/>
      <c r="I181" s="33"/>
      <c r="J181" s="33"/>
      <c r="K181" s="33"/>
      <c r="L181" s="34"/>
      <c r="M181" s="34"/>
      <c r="N181" s="33"/>
      <c r="O181" s="32"/>
      <c r="P181" s="33"/>
      <c r="Q181" s="33"/>
      <c r="R181" s="35"/>
    </row>
    <row r="182" spans="1:18" x14ac:dyDescent="0.3">
      <c r="A182" s="28"/>
      <c r="B182" s="29"/>
      <c r="C182" s="29"/>
      <c r="D182" s="29"/>
      <c r="E182" s="29"/>
      <c r="F182" s="29"/>
      <c r="G182" s="29"/>
      <c r="H182" s="29"/>
      <c r="I182" s="29"/>
      <c r="J182" s="29"/>
      <c r="K182" s="29"/>
      <c r="L182" s="30"/>
      <c r="M182" s="30"/>
      <c r="N182" s="29"/>
      <c r="O182" s="28"/>
      <c r="P182" s="29"/>
      <c r="Q182" s="29"/>
      <c r="R182" s="31"/>
    </row>
    <row r="183" spans="1:18" x14ac:dyDescent="0.3">
      <c r="A183" s="32"/>
      <c r="B183" s="33"/>
      <c r="C183" s="33"/>
      <c r="D183" s="33"/>
      <c r="E183" s="33"/>
      <c r="F183" s="33"/>
      <c r="G183" s="33"/>
      <c r="H183" s="33"/>
      <c r="I183" s="33"/>
      <c r="J183" s="33"/>
      <c r="K183" s="33"/>
      <c r="L183" s="34"/>
      <c r="M183" s="34"/>
      <c r="N183" s="33"/>
      <c r="O183" s="32"/>
      <c r="P183" s="33"/>
      <c r="Q183" s="33"/>
      <c r="R183" s="35"/>
    </row>
    <row r="184" spans="1:18" x14ac:dyDescent="0.3">
      <c r="A184" s="28"/>
      <c r="B184" s="29"/>
      <c r="C184" s="29"/>
      <c r="D184" s="29"/>
      <c r="E184" s="29"/>
      <c r="F184" s="29"/>
      <c r="G184" s="29"/>
      <c r="H184" s="29"/>
      <c r="I184" s="29"/>
      <c r="J184" s="29"/>
      <c r="K184" s="29"/>
      <c r="L184" s="30"/>
      <c r="M184" s="30"/>
      <c r="N184" s="29"/>
      <c r="O184" s="28"/>
      <c r="P184" s="29"/>
      <c r="Q184" s="29"/>
      <c r="R184" s="31"/>
    </row>
    <row r="185" spans="1:18" x14ac:dyDescent="0.3">
      <c r="A185" s="32"/>
      <c r="B185" s="33"/>
      <c r="C185" s="33"/>
      <c r="D185" s="33"/>
      <c r="E185" s="33"/>
      <c r="F185" s="33"/>
      <c r="G185" s="33"/>
      <c r="H185" s="33"/>
      <c r="I185" s="33"/>
      <c r="J185" s="33"/>
      <c r="K185" s="33"/>
      <c r="L185" s="34"/>
      <c r="M185" s="34"/>
      <c r="N185" s="33"/>
      <c r="O185" s="32"/>
      <c r="P185" s="33"/>
      <c r="Q185" s="33"/>
      <c r="R185" s="35"/>
    </row>
    <row r="186" spans="1:18" x14ac:dyDescent="0.3">
      <c r="A186" s="28"/>
      <c r="B186" s="29"/>
      <c r="C186" s="29"/>
      <c r="D186" s="29"/>
      <c r="E186" s="29"/>
      <c r="F186" s="29"/>
      <c r="G186" s="29"/>
      <c r="H186" s="29"/>
      <c r="I186" s="29"/>
      <c r="J186" s="29"/>
      <c r="K186" s="29"/>
      <c r="L186" s="30"/>
      <c r="M186" s="30"/>
      <c r="N186" s="29"/>
      <c r="O186" s="28"/>
      <c r="P186" s="29"/>
      <c r="Q186" s="29"/>
      <c r="R186" s="31"/>
    </row>
    <row r="187" spans="1:18" x14ac:dyDescent="0.3">
      <c r="A187" s="32"/>
      <c r="B187" s="33"/>
      <c r="C187" s="33"/>
      <c r="D187" s="33"/>
      <c r="E187" s="33"/>
      <c r="F187" s="33"/>
      <c r="G187" s="33"/>
      <c r="H187" s="33"/>
      <c r="I187" s="33"/>
      <c r="J187" s="33"/>
      <c r="K187" s="33"/>
      <c r="L187" s="34"/>
      <c r="M187" s="34"/>
      <c r="N187" s="33"/>
      <c r="O187" s="32"/>
      <c r="P187" s="33"/>
      <c r="Q187" s="33"/>
      <c r="R187" s="35"/>
    </row>
    <row r="188" spans="1:18" x14ac:dyDescent="0.3">
      <c r="A188" s="28"/>
      <c r="B188" s="29"/>
      <c r="C188" s="29"/>
      <c r="D188" s="29"/>
      <c r="E188" s="29"/>
      <c r="F188" s="29"/>
      <c r="G188" s="29"/>
      <c r="H188" s="29"/>
      <c r="I188" s="29"/>
      <c r="J188" s="29"/>
      <c r="K188" s="29"/>
      <c r="L188" s="30"/>
      <c r="M188" s="30"/>
      <c r="N188" s="29"/>
      <c r="O188" s="28"/>
      <c r="P188" s="29"/>
      <c r="Q188" s="29"/>
      <c r="R188" s="31"/>
    </row>
    <row r="189" spans="1:18" x14ac:dyDescent="0.3">
      <c r="A189" s="32"/>
      <c r="B189" s="33"/>
      <c r="C189" s="33"/>
      <c r="D189" s="33"/>
      <c r="E189" s="33"/>
      <c r="F189" s="33"/>
      <c r="G189" s="33"/>
      <c r="H189" s="33"/>
      <c r="I189" s="33"/>
      <c r="J189" s="33"/>
      <c r="K189" s="33"/>
      <c r="L189" s="34"/>
      <c r="M189" s="34"/>
      <c r="N189" s="33"/>
      <c r="O189" s="32"/>
      <c r="P189" s="33"/>
      <c r="Q189" s="33"/>
      <c r="R189" s="35"/>
    </row>
    <row r="190" spans="1:18" x14ac:dyDescent="0.3">
      <c r="A190" s="28"/>
      <c r="B190" s="29"/>
      <c r="C190" s="29"/>
      <c r="D190" s="29"/>
      <c r="E190" s="29"/>
      <c r="F190" s="29"/>
      <c r="G190" s="29"/>
      <c r="H190" s="29"/>
      <c r="I190" s="29"/>
      <c r="J190" s="29"/>
      <c r="K190" s="29"/>
      <c r="L190" s="30"/>
      <c r="M190" s="30"/>
      <c r="N190" s="29"/>
      <c r="O190" s="28"/>
      <c r="P190" s="29"/>
      <c r="Q190" s="29"/>
      <c r="R190" s="31"/>
    </row>
    <row r="191" spans="1:18" x14ac:dyDescent="0.3">
      <c r="A191" s="32"/>
      <c r="B191" s="33"/>
      <c r="C191" s="33"/>
      <c r="D191" s="33"/>
      <c r="E191" s="33"/>
      <c r="F191" s="33"/>
      <c r="G191" s="33"/>
      <c r="H191" s="33"/>
      <c r="I191" s="33"/>
      <c r="J191" s="33"/>
      <c r="K191" s="33"/>
      <c r="L191" s="34"/>
      <c r="M191" s="34"/>
      <c r="N191" s="33"/>
      <c r="O191" s="32"/>
      <c r="P191" s="33"/>
      <c r="Q191" s="33"/>
      <c r="R191" s="35"/>
    </row>
    <row r="192" spans="1:18" x14ac:dyDescent="0.3">
      <c r="A192" s="28"/>
      <c r="B192" s="29"/>
      <c r="C192" s="29"/>
      <c r="D192" s="29"/>
      <c r="E192" s="29"/>
      <c r="F192" s="29"/>
      <c r="G192" s="29"/>
      <c r="H192" s="29"/>
      <c r="I192" s="29"/>
      <c r="J192" s="29"/>
      <c r="K192" s="29"/>
      <c r="L192" s="30"/>
      <c r="M192" s="30"/>
      <c r="N192" s="29"/>
      <c r="O192" s="28"/>
      <c r="P192" s="29"/>
      <c r="Q192" s="29"/>
      <c r="R192" s="31"/>
    </row>
    <row r="193" spans="1:18" x14ac:dyDescent="0.3">
      <c r="A193" s="32"/>
      <c r="B193" s="33"/>
      <c r="C193" s="33"/>
      <c r="D193" s="33"/>
      <c r="E193" s="33"/>
      <c r="F193" s="33"/>
      <c r="G193" s="33"/>
      <c r="H193" s="33"/>
      <c r="I193" s="33"/>
      <c r="J193" s="33"/>
      <c r="K193" s="33"/>
      <c r="L193" s="34"/>
      <c r="M193" s="34"/>
      <c r="N193" s="33"/>
      <c r="O193" s="32"/>
      <c r="P193" s="33"/>
      <c r="Q193" s="33"/>
      <c r="R193" s="35"/>
    </row>
    <row r="194" spans="1:18" x14ac:dyDescent="0.3">
      <c r="A194" s="28"/>
      <c r="B194" s="29"/>
      <c r="C194" s="29"/>
      <c r="D194" s="29"/>
      <c r="E194" s="29"/>
      <c r="F194" s="29"/>
      <c r="G194" s="29"/>
      <c r="H194" s="29"/>
      <c r="I194" s="29"/>
      <c r="J194" s="29"/>
      <c r="K194" s="29"/>
      <c r="L194" s="30"/>
      <c r="M194" s="30"/>
      <c r="N194" s="29"/>
      <c r="O194" s="28"/>
      <c r="P194" s="29"/>
      <c r="Q194" s="29"/>
      <c r="R194" s="31"/>
    </row>
    <row r="195" spans="1:18" x14ac:dyDescent="0.3">
      <c r="A195" s="32"/>
      <c r="B195" s="33"/>
      <c r="C195" s="33"/>
      <c r="D195" s="33"/>
      <c r="E195" s="33"/>
      <c r="F195" s="33"/>
      <c r="G195" s="33"/>
      <c r="H195" s="33"/>
      <c r="I195" s="33"/>
      <c r="J195" s="33"/>
      <c r="K195" s="33"/>
      <c r="L195" s="34"/>
      <c r="M195" s="34"/>
      <c r="N195" s="33"/>
      <c r="O195" s="32"/>
      <c r="P195" s="33"/>
      <c r="Q195" s="33"/>
      <c r="R195" s="35"/>
    </row>
    <row r="196" spans="1:18" x14ac:dyDescent="0.3">
      <c r="A196" s="28"/>
      <c r="B196" s="29"/>
      <c r="C196" s="29"/>
      <c r="D196" s="29"/>
      <c r="E196" s="29"/>
      <c r="F196" s="29"/>
      <c r="G196" s="29"/>
      <c r="H196" s="29"/>
      <c r="I196" s="29"/>
      <c r="J196" s="29"/>
      <c r="K196" s="29"/>
      <c r="L196" s="30"/>
      <c r="M196" s="30"/>
      <c r="N196" s="29"/>
      <c r="O196" s="28"/>
      <c r="P196" s="29"/>
      <c r="Q196" s="29"/>
      <c r="R196" s="31"/>
    </row>
    <row r="197" spans="1:18" x14ac:dyDescent="0.3">
      <c r="A197" s="32"/>
      <c r="B197" s="33"/>
      <c r="C197" s="33"/>
      <c r="D197" s="33"/>
      <c r="E197" s="33"/>
      <c r="F197" s="33"/>
      <c r="G197" s="33"/>
      <c r="H197" s="33"/>
      <c r="I197" s="33"/>
      <c r="J197" s="33"/>
      <c r="K197" s="33"/>
      <c r="L197" s="34"/>
      <c r="M197" s="34"/>
      <c r="N197" s="33"/>
      <c r="O197" s="32"/>
      <c r="P197" s="33"/>
      <c r="Q197" s="33"/>
      <c r="R197" s="35"/>
    </row>
    <row r="198" spans="1:18" x14ac:dyDescent="0.3">
      <c r="A198" s="28"/>
      <c r="B198" s="29"/>
      <c r="C198" s="29"/>
      <c r="D198" s="29"/>
      <c r="E198" s="29"/>
      <c r="F198" s="29"/>
      <c r="G198" s="29"/>
      <c r="H198" s="29"/>
      <c r="I198" s="29"/>
      <c r="J198" s="29"/>
      <c r="K198" s="29"/>
      <c r="L198" s="30"/>
      <c r="M198" s="30"/>
      <c r="N198" s="29"/>
      <c r="O198" s="28"/>
      <c r="P198" s="29"/>
      <c r="Q198" s="29"/>
      <c r="R198" s="31"/>
    </row>
    <row r="199" spans="1:18" x14ac:dyDescent="0.3">
      <c r="A199" s="32"/>
      <c r="B199" s="33"/>
      <c r="C199" s="33"/>
      <c r="D199" s="33"/>
      <c r="E199" s="33"/>
      <c r="F199" s="33"/>
      <c r="G199" s="33"/>
      <c r="H199" s="33"/>
      <c r="I199" s="33"/>
      <c r="J199" s="33"/>
      <c r="K199" s="33"/>
      <c r="L199" s="34"/>
      <c r="M199" s="34"/>
      <c r="N199" s="33"/>
      <c r="O199" s="32"/>
      <c r="P199" s="33"/>
      <c r="Q199" s="33"/>
      <c r="R199" s="35"/>
    </row>
    <row r="200" spans="1:18" x14ac:dyDescent="0.3">
      <c r="A200" s="28"/>
      <c r="B200" s="29"/>
      <c r="C200" s="29"/>
      <c r="D200" s="29"/>
      <c r="E200" s="29"/>
      <c r="F200" s="29"/>
      <c r="G200" s="29"/>
      <c r="H200" s="29"/>
      <c r="I200" s="29"/>
      <c r="J200" s="29"/>
      <c r="K200" s="29"/>
      <c r="L200" s="30"/>
      <c r="M200" s="30"/>
      <c r="N200" s="29"/>
      <c r="O200" s="28"/>
      <c r="P200" s="29"/>
      <c r="Q200" s="29"/>
      <c r="R200" s="31"/>
    </row>
    <row r="201" spans="1:18" x14ac:dyDescent="0.3">
      <c r="A201" s="32"/>
      <c r="B201" s="33"/>
      <c r="C201" s="33"/>
      <c r="D201" s="33"/>
      <c r="E201" s="33"/>
      <c r="F201" s="33"/>
      <c r="G201" s="33"/>
      <c r="H201" s="33"/>
      <c r="I201" s="33"/>
      <c r="J201" s="33"/>
      <c r="K201" s="33"/>
      <c r="L201" s="34"/>
      <c r="M201" s="34"/>
      <c r="N201" s="33"/>
      <c r="O201" s="32"/>
      <c r="P201" s="33"/>
      <c r="Q201" s="33"/>
      <c r="R201" s="35"/>
    </row>
    <row r="202" spans="1:18" x14ac:dyDescent="0.3">
      <c r="A202" s="28"/>
      <c r="B202" s="29"/>
      <c r="C202" s="29"/>
      <c r="D202" s="29"/>
      <c r="E202" s="29"/>
      <c r="F202" s="29"/>
      <c r="G202" s="29"/>
      <c r="H202" s="29"/>
      <c r="I202" s="29"/>
      <c r="J202" s="29"/>
      <c r="K202" s="29"/>
      <c r="L202" s="30"/>
      <c r="M202" s="30"/>
      <c r="N202" s="29"/>
      <c r="O202" s="28"/>
      <c r="P202" s="29"/>
      <c r="Q202" s="29"/>
      <c r="R202" s="31"/>
    </row>
    <row r="203" spans="1:18" x14ac:dyDescent="0.3">
      <c r="A203" s="32"/>
      <c r="B203" s="33"/>
      <c r="C203" s="33"/>
      <c r="D203" s="33"/>
      <c r="E203" s="33"/>
      <c r="F203" s="33"/>
      <c r="G203" s="33"/>
      <c r="H203" s="33"/>
      <c r="I203" s="33"/>
      <c r="J203" s="33"/>
      <c r="K203" s="33"/>
      <c r="L203" s="34"/>
      <c r="M203" s="34"/>
      <c r="N203" s="33"/>
      <c r="O203" s="32"/>
      <c r="P203" s="33"/>
      <c r="Q203" s="33"/>
      <c r="R203" s="35"/>
    </row>
    <row r="204" spans="1:18" x14ac:dyDescent="0.3">
      <c r="A204" s="28"/>
      <c r="B204" s="29"/>
      <c r="C204" s="29"/>
      <c r="D204" s="29"/>
      <c r="E204" s="29"/>
      <c r="F204" s="29"/>
      <c r="G204" s="29"/>
      <c r="H204" s="29"/>
      <c r="I204" s="29"/>
      <c r="J204" s="29"/>
      <c r="K204" s="29"/>
      <c r="L204" s="30"/>
      <c r="M204" s="30"/>
      <c r="N204" s="29"/>
      <c r="O204" s="28"/>
      <c r="P204" s="29"/>
      <c r="Q204" s="29"/>
      <c r="R204" s="31"/>
    </row>
    <row r="205" spans="1:18" x14ac:dyDescent="0.3">
      <c r="A205" s="32"/>
      <c r="B205" s="33"/>
      <c r="C205" s="33"/>
      <c r="D205" s="33"/>
      <c r="E205" s="33"/>
      <c r="F205" s="33"/>
      <c r="G205" s="33"/>
      <c r="H205" s="33"/>
      <c r="I205" s="33"/>
      <c r="J205" s="33"/>
      <c r="K205" s="33"/>
      <c r="L205" s="34"/>
      <c r="M205" s="34"/>
      <c r="N205" s="33"/>
      <c r="O205" s="32"/>
      <c r="P205" s="33"/>
      <c r="Q205" s="33"/>
      <c r="R205" s="35"/>
    </row>
    <row r="206" spans="1:18" x14ac:dyDescent="0.3">
      <c r="A206" s="28"/>
      <c r="B206" s="29"/>
      <c r="C206" s="29"/>
      <c r="D206" s="29"/>
      <c r="E206" s="29"/>
      <c r="F206" s="29"/>
      <c r="G206" s="29"/>
      <c r="H206" s="29"/>
      <c r="I206" s="29"/>
      <c r="J206" s="29"/>
      <c r="K206" s="29"/>
      <c r="L206" s="30"/>
      <c r="M206" s="30"/>
      <c r="N206" s="29"/>
      <c r="O206" s="28"/>
      <c r="P206" s="29"/>
      <c r="Q206" s="29"/>
      <c r="R206" s="31"/>
    </row>
    <row r="207" spans="1:18" x14ac:dyDescent="0.3">
      <c r="A207" s="32"/>
      <c r="B207" s="33"/>
      <c r="C207" s="33"/>
      <c r="D207" s="33"/>
      <c r="E207" s="33"/>
      <c r="F207" s="33"/>
      <c r="G207" s="33"/>
      <c r="H207" s="33"/>
      <c r="I207" s="33"/>
      <c r="J207" s="33"/>
      <c r="K207" s="33"/>
      <c r="L207" s="34"/>
      <c r="M207" s="34"/>
      <c r="N207" s="33"/>
      <c r="O207" s="32"/>
      <c r="P207" s="33"/>
      <c r="Q207" s="33"/>
      <c r="R207" s="35"/>
    </row>
    <row r="208" spans="1:18" x14ac:dyDescent="0.3">
      <c r="A208" s="28"/>
      <c r="B208" s="29"/>
      <c r="C208" s="29"/>
      <c r="D208" s="29"/>
      <c r="E208" s="29"/>
      <c r="F208" s="29"/>
      <c r="G208" s="29"/>
      <c r="H208" s="29"/>
      <c r="I208" s="29"/>
      <c r="J208" s="29"/>
      <c r="K208" s="29"/>
      <c r="L208" s="30"/>
      <c r="M208" s="30"/>
      <c r="N208" s="29"/>
      <c r="O208" s="28"/>
      <c r="P208" s="29"/>
      <c r="Q208" s="29"/>
      <c r="R208" s="31"/>
    </row>
    <row r="209" spans="1:18" x14ac:dyDescent="0.3">
      <c r="A209" s="32"/>
      <c r="B209" s="33"/>
      <c r="C209" s="33"/>
      <c r="D209" s="33"/>
      <c r="E209" s="33"/>
      <c r="F209" s="33"/>
      <c r="G209" s="33"/>
      <c r="H209" s="33"/>
      <c r="I209" s="33"/>
      <c r="J209" s="33"/>
      <c r="K209" s="33"/>
      <c r="L209" s="34"/>
      <c r="M209" s="34"/>
      <c r="N209" s="33"/>
      <c r="O209" s="32"/>
      <c r="P209" s="33"/>
      <c r="Q209" s="33"/>
      <c r="R209" s="35"/>
    </row>
    <row r="210" spans="1:18" x14ac:dyDescent="0.3">
      <c r="A210" s="28"/>
      <c r="B210" s="29"/>
      <c r="C210" s="29"/>
      <c r="D210" s="29"/>
      <c r="E210" s="29"/>
      <c r="F210" s="29"/>
      <c r="G210" s="29"/>
      <c r="H210" s="29"/>
      <c r="I210" s="29"/>
      <c r="J210" s="29"/>
      <c r="K210" s="29"/>
      <c r="L210" s="30"/>
      <c r="M210" s="30"/>
      <c r="N210" s="29"/>
      <c r="O210" s="28"/>
      <c r="P210" s="29"/>
      <c r="Q210" s="29"/>
      <c r="R210" s="31"/>
    </row>
    <row r="211" spans="1:18" x14ac:dyDescent="0.3">
      <c r="A211" s="32"/>
      <c r="B211" s="33"/>
      <c r="C211" s="33"/>
      <c r="D211" s="33"/>
      <c r="E211" s="33"/>
      <c r="F211" s="33"/>
      <c r="G211" s="33"/>
      <c r="H211" s="33"/>
      <c r="I211" s="33"/>
      <c r="J211" s="33"/>
      <c r="K211" s="33"/>
      <c r="L211" s="34"/>
      <c r="M211" s="34"/>
      <c r="N211" s="33"/>
      <c r="O211" s="32"/>
      <c r="P211" s="33"/>
      <c r="Q211" s="33"/>
      <c r="R211" s="35"/>
    </row>
    <row r="212" spans="1:18" x14ac:dyDescent="0.3">
      <c r="A212" s="28"/>
      <c r="B212" s="29"/>
      <c r="C212" s="29"/>
      <c r="D212" s="29"/>
      <c r="E212" s="29"/>
      <c r="F212" s="29"/>
      <c r="G212" s="29"/>
      <c r="H212" s="29"/>
      <c r="I212" s="29"/>
      <c r="J212" s="29"/>
      <c r="K212" s="29"/>
      <c r="L212" s="30"/>
      <c r="M212" s="30"/>
      <c r="N212" s="29"/>
      <c r="O212" s="28"/>
      <c r="P212" s="29"/>
      <c r="Q212" s="29"/>
      <c r="R212" s="31"/>
    </row>
    <row r="213" spans="1:18" x14ac:dyDescent="0.3">
      <c r="A213" s="32"/>
      <c r="B213" s="33"/>
      <c r="C213" s="33"/>
      <c r="D213" s="33"/>
      <c r="E213" s="33"/>
      <c r="F213" s="33"/>
      <c r="G213" s="33"/>
      <c r="H213" s="33"/>
      <c r="I213" s="33"/>
      <c r="J213" s="33"/>
      <c r="K213" s="33"/>
      <c r="L213" s="34"/>
      <c r="M213" s="34"/>
      <c r="N213" s="33"/>
      <c r="O213" s="32"/>
      <c r="P213" s="33"/>
      <c r="Q213" s="33"/>
      <c r="R213" s="35"/>
    </row>
    <row r="214" spans="1:18" x14ac:dyDescent="0.3">
      <c r="A214" s="28"/>
      <c r="B214" s="29"/>
      <c r="C214" s="29"/>
      <c r="D214" s="29"/>
      <c r="E214" s="29"/>
      <c r="F214" s="29"/>
      <c r="G214" s="29"/>
      <c r="H214" s="29"/>
      <c r="I214" s="29"/>
      <c r="J214" s="29"/>
      <c r="K214" s="29"/>
      <c r="L214" s="30"/>
      <c r="M214" s="30"/>
      <c r="N214" s="29"/>
      <c r="O214" s="28"/>
      <c r="P214" s="29"/>
      <c r="Q214" s="29"/>
      <c r="R214" s="31"/>
    </row>
    <row r="215" spans="1:18" x14ac:dyDescent="0.3">
      <c r="A215" s="32"/>
      <c r="B215" s="33"/>
      <c r="C215" s="33"/>
      <c r="D215" s="33"/>
      <c r="E215" s="33"/>
      <c r="F215" s="33"/>
      <c r="G215" s="33"/>
      <c r="H215" s="33"/>
      <c r="I215" s="33"/>
      <c r="J215" s="33"/>
      <c r="K215" s="33"/>
      <c r="L215" s="34"/>
      <c r="M215" s="34"/>
      <c r="N215" s="33"/>
      <c r="O215" s="32"/>
      <c r="P215" s="33"/>
      <c r="Q215" s="33"/>
      <c r="R215" s="35"/>
    </row>
    <row r="216" spans="1:18" x14ac:dyDescent="0.3">
      <c r="A216" s="28"/>
      <c r="B216" s="29"/>
      <c r="C216" s="29"/>
      <c r="D216" s="29"/>
      <c r="E216" s="29"/>
      <c r="F216" s="29"/>
      <c r="G216" s="29"/>
      <c r="H216" s="29"/>
      <c r="I216" s="29"/>
      <c r="J216" s="29"/>
      <c r="K216" s="29"/>
      <c r="L216" s="30"/>
      <c r="M216" s="30"/>
      <c r="N216" s="29"/>
      <c r="O216" s="28"/>
      <c r="P216" s="29"/>
      <c r="Q216" s="29"/>
      <c r="R216" s="31"/>
    </row>
    <row r="217" spans="1:18" x14ac:dyDescent="0.3">
      <c r="A217" s="32"/>
      <c r="B217" s="33"/>
      <c r="C217" s="33"/>
      <c r="D217" s="33"/>
      <c r="E217" s="33"/>
      <c r="F217" s="33"/>
      <c r="G217" s="33"/>
      <c r="H217" s="33"/>
      <c r="I217" s="33"/>
      <c r="J217" s="33"/>
      <c r="K217" s="33"/>
      <c r="L217" s="34"/>
      <c r="M217" s="34"/>
      <c r="N217" s="33"/>
      <c r="O217" s="32"/>
      <c r="P217" s="33"/>
      <c r="Q217" s="33"/>
      <c r="R217" s="35"/>
    </row>
    <row r="218" spans="1:18" x14ac:dyDescent="0.3">
      <c r="A218" s="28"/>
      <c r="B218" s="29"/>
      <c r="C218" s="29"/>
      <c r="D218" s="29"/>
      <c r="E218" s="29"/>
      <c r="F218" s="29"/>
      <c r="G218" s="29"/>
      <c r="H218" s="29"/>
      <c r="I218" s="29"/>
      <c r="J218" s="29"/>
      <c r="K218" s="29"/>
      <c r="L218" s="30"/>
      <c r="M218" s="30"/>
      <c r="N218" s="29"/>
      <c r="O218" s="28"/>
      <c r="P218" s="29"/>
      <c r="Q218" s="29"/>
      <c r="R218" s="31"/>
    </row>
    <row r="219" spans="1:18" x14ac:dyDescent="0.3">
      <c r="A219" s="32"/>
      <c r="B219" s="33"/>
      <c r="C219" s="33"/>
      <c r="D219" s="33"/>
      <c r="E219" s="33"/>
      <c r="F219" s="33"/>
      <c r="G219" s="33"/>
      <c r="H219" s="33"/>
      <c r="I219" s="33"/>
      <c r="J219" s="33"/>
      <c r="K219" s="33"/>
      <c r="L219" s="34"/>
      <c r="M219" s="34"/>
      <c r="N219" s="33"/>
      <c r="O219" s="32"/>
      <c r="P219" s="33"/>
      <c r="Q219" s="33"/>
      <c r="R219" s="35"/>
    </row>
    <row r="220" spans="1:18" x14ac:dyDescent="0.3">
      <c r="A220" s="28"/>
      <c r="B220" s="29"/>
      <c r="C220" s="29"/>
      <c r="D220" s="29"/>
      <c r="E220" s="29"/>
      <c r="F220" s="29"/>
      <c r="G220" s="29"/>
      <c r="H220" s="29"/>
      <c r="I220" s="29"/>
      <c r="J220" s="29"/>
      <c r="K220" s="29"/>
      <c r="L220" s="30"/>
      <c r="M220" s="30"/>
      <c r="N220" s="29"/>
      <c r="O220" s="28"/>
      <c r="P220" s="29"/>
      <c r="Q220" s="29"/>
      <c r="R220" s="31"/>
    </row>
    <row r="221" spans="1:18" x14ac:dyDescent="0.3">
      <c r="A221" s="32"/>
      <c r="B221" s="33"/>
      <c r="C221" s="33"/>
      <c r="D221" s="33"/>
      <c r="E221" s="33"/>
      <c r="F221" s="33"/>
      <c r="G221" s="33"/>
      <c r="H221" s="33"/>
      <c r="I221" s="33"/>
      <c r="J221" s="33"/>
      <c r="K221" s="33"/>
      <c r="L221" s="34"/>
      <c r="M221" s="34"/>
      <c r="N221" s="33"/>
      <c r="O221" s="32"/>
      <c r="P221" s="33"/>
      <c r="Q221" s="33"/>
      <c r="R221" s="35"/>
    </row>
    <row r="222" spans="1:18" x14ac:dyDescent="0.3">
      <c r="A222" s="28"/>
      <c r="B222" s="29"/>
      <c r="C222" s="29"/>
      <c r="D222" s="29"/>
      <c r="E222" s="29"/>
      <c r="F222" s="29"/>
      <c r="G222" s="29"/>
      <c r="H222" s="29"/>
      <c r="I222" s="29"/>
      <c r="J222" s="29"/>
      <c r="K222" s="29"/>
      <c r="L222" s="30"/>
      <c r="M222" s="30"/>
      <c r="N222" s="29"/>
      <c r="O222" s="28"/>
      <c r="P222" s="29"/>
      <c r="Q222" s="29"/>
      <c r="R222" s="31"/>
    </row>
    <row r="223" spans="1:18" x14ac:dyDescent="0.3">
      <c r="A223" s="32"/>
      <c r="B223" s="33"/>
      <c r="C223" s="33"/>
      <c r="D223" s="33"/>
      <c r="E223" s="33"/>
      <c r="F223" s="33"/>
      <c r="G223" s="33"/>
      <c r="H223" s="33"/>
      <c r="I223" s="33"/>
      <c r="J223" s="33"/>
      <c r="K223" s="33"/>
      <c r="L223" s="34"/>
      <c r="M223" s="34"/>
      <c r="N223" s="33"/>
      <c r="O223" s="32"/>
      <c r="P223" s="33"/>
      <c r="Q223" s="33"/>
      <c r="R223" s="35"/>
    </row>
    <row r="224" spans="1:18" x14ac:dyDescent="0.3">
      <c r="A224" s="28"/>
      <c r="B224" s="29"/>
      <c r="C224" s="29"/>
      <c r="D224" s="29"/>
      <c r="E224" s="29"/>
      <c r="F224" s="29"/>
      <c r="G224" s="29"/>
      <c r="H224" s="29"/>
      <c r="I224" s="29"/>
      <c r="J224" s="29"/>
      <c r="K224" s="29"/>
      <c r="L224" s="30"/>
      <c r="M224" s="30"/>
      <c r="N224" s="29"/>
      <c r="O224" s="28"/>
      <c r="P224" s="29"/>
      <c r="Q224" s="29"/>
      <c r="R224" s="31"/>
    </row>
    <row r="225" spans="1:18" x14ac:dyDescent="0.3">
      <c r="A225" s="32"/>
      <c r="B225" s="33"/>
      <c r="C225" s="33"/>
      <c r="D225" s="33"/>
      <c r="E225" s="33"/>
      <c r="F225" s="33"/>
      <c r="G225" s="33"/>
      <c r="H225" s="33"/>
      <c r="I225" s="33"/>
      <c r="J225" s="33"/>
      <c r="K225" s="33"/>
      <c r="L225" s="34"/>
      <c r="M225" s="34"/>
      <c r="N225" s="33"/>
      <c r="O225" s="32"/>
      <c r="P225" s="33"/>
      <c r="Q225" s="33"/>
      <c r="R225" s="35"/>
    </row>
    <row r="226" spans="1:18" x14ac:dyDescent="0.3">
      <c r="A226" s="28"/>
      <c r="B226" s="29"/>
      <c r="C226" s="29"/>
      <c r="D226" s="29"/>
      <c r="E226" s="29"/>
      <c r="F226" s="29"/>
      <c r="G226" s="29"/>
      <c r="H226" s="29"/>
      <c r="I226" s="29"/>
      <c r="J226" s="29"/>
      <c r="K226" s="29"/>
      <c r="L226" s="30"/>
      <c r="M226" s="30"/>
      <c r="N226" s="29"/>
      <c r="O226" s="28"/>
      <c r="P226" s="29"/>
      <c r="Q226" s="29"/>
      <c r="R226" s="31"/>
    </row>
    <row r="227" spans="1:18" x14ac:dyDescent="0.3">
      <c r="A227" s="32"/>
      <c r="B227" s="33"/>
      <c r="C227" s="33"/>
      <c r="D227" s="33"/>
      <c r="E227" s="33"/>
      <c r="F227" s="33"/>
      <c r="G227" s="33"/>
      <c r="H227" s="33"/>
      <c r="I227" s="33"/>
      <c r="J227" s="33"/>
      <c r="K227" s="33"/>
      <c r="L227" s="34"/>
      <c r="M227" s="34"/>
      <c r="N227" s="33"/>
      <c r="O227" s="32"/>
      <c r="P227" s="33"/>
      <c r="Q227" s="33"/>
      <c r="R227" s="35"/>
    </row>
    <row r="228" spans="1:18" x14ac:dyDescent="0.3">
      <c r="A228" s="28"/>
      <c r="B228" s="29"/>
      <c r="C228" s="29"/>
      <c r="D228" s="29"/>
      <c r="E228" s="29"/>
      <c r="F228" s="29"/>
      <c r="G228" s="29"/>
      <c r="H228" s="29"/>
      <c r="I228" s="29"/>
      <c r="J228" s="29"/>
      <c r="K228" s="29"/>
      <c r="L228" s="30"/>
      <c r="M228" s="30"/>
      <c r="N228" s="29"/>
      <c r="O228" s="28"/>
      <c r="P228" s="29"/>
      <c r="Q228" s="29"/>
      <c r="R228" s="31"/>
    </row>
    <row r="229" spans="1:18" x14ac:dyDescent="0.3">
      <c r="A229" s="32"/>
      <c r="B229" s="33"/>
      <c r="C229" s="33"/>
      <c r="D229" s="33"/>
      <c r="E229" s="33"/>
      <c r="F229" s="33"/>
      <c r="G229" s="33"/>
      <c r="H229" s="33"/>
      <c r="I229" s="33"/>
      <c r="J229" s="33"/>
      <c r="K229" s="33"/>
      <c r="L229" s="34"/>
      <c r="M229" s="34"/>
      <c r="N229" s="33"/>
      <c r="O229" s="32"/>
      <c r="P229" s="33"/>
      <c r="Q229" s="33"/>
      <c r="R229" s="35"/>
    </row>
    <row r="230" spans="1:18" x14ac:dyDescent="0.3">
      <c r="A230" s="28"/>
      <c r="B230" s="29"/>
      <c r="C230" s="29"/>
      <c r="D230" s="29"/>
      <c r="E230" s="29"/>
      <c r="F230" s="29"/>
      <c r="G230" s="29"/>
      <c r="H230" s="29"/>
      <c r="I230" s="29"/>
      <c r="J230" s="29"/>
      <c r="K230" s="29"/>
      <c r="L230" s="30"/>
      <c r="M230" s="30"/>
      <c r="N230" s="29"/>
      <c r="O230" s="28"/>
      <c r="P230" s="29"/>
      <c r="Q230" s="29"/>
      <c r="R230" s="31"/>
    </row>
    <row r="231" spans="1:18" x14ac:dyDescent="0.3">
      <c r="A231" s="32"/>
      <c r="B231" s="33"/>
      <c r="C231" s="33"/>
      <c r="D231" s="33"/>
      <c r="E231" s="33"/>
      <c r="F231" s="33"/>
      <c r="G231" s="33"/>
      <c r="H231" s="33"/>
      <c r="I231" s="33"/>
      <c r="J231" s="33"/>
      <c r="K231" s="33"/>
      <c r="L231" s="34"/>
      <c r="M231" s="34"/>
      <c r="N231" s="33"/>
      <c r="O231" s="32"/>
      <c r="P231" s="33"/>
      <c r="Q231" s="33"/>
      <c r="R231" s="35"/>
    </row>
    <row r="232" spans="1:18" x14ac:dyDescent="0.3">
      <c r="A232" s="28"/>
      <c r="B232" s="29"/>
      <c r="C232" s="29"/>
      <c r="D232" s="29"/>
      <c r="E232" s="29"/>
      <c r="F232" s="29"/>
      <c r="G232" s="29"/>
      <c r="H232" s="29"/>
      <c r="I232" s="29"/>
      <c r="J232" s="29"/>
      <c r="K232" s="29"/>
      <c r="L232" s="30"/>
      <c r="M232" s="30"/>
      <c r="N232" s="29"/>
      <c r="O232" s="28"/>
      <c r="P232" s="29"/>
      <c r="Q232" s="29"/>
      <c r="R232" s="31"/>
    </row>
    <row r="233" spans="1:18" x14ac:dyDescent="0.3">
      <c r="A233" s="32"/>
      <c r="B233" s="33"/>
      <c r="C233" s="33"/>
      <c r="D233" s="33"/>
      <c r="E233" s="33"/>
      <c r="F233" s="33"/>
      <c r="G233" s="33"/>
      <c r="H233" s="33"/>
      <c r="I233" s="33"/>
      <c r="J233" s="33"/>
      <c r="K233" s="33"/>
      <c r="L233" s="34"/>
      <c r="M233" s="34"/>
      <c r="N233" s="33"/>
      <c r="O233" s="32"/>
      <c r="P233" s="33"/>
      <c r="Q233" s="33"/>
      <c r="R233" s="35"/>
    </row>
    <row r="234" spans="1:18" x14ac:dyDescent="0.3">
      <c r="A234" s="28"/>
      <c r="B234" s="29"/>
      <c r="C234" s="29"/>
      <c r="D234" s="29"/>
      <c r="E234" s="29"/>
      <c r="F234" s="29"/>
      <c r="G234" s="29"/>
      <c r="H234" s="29"/>
      <c r="I234" s="29"/>
      <c r="J234" s="29"/>
      <c r="K234" s="29"/>
      <c r="L234" s="30"/>
      <c r="M234" s="30"/>
      <c r="N234" s="29"/>
      <c r="O234" s="28"/>
      <c r="P234" s="29"/>
      <c r="Q234" s="29"/>
      <c r="R234" s="31"/>
    </row>
    <row r="235" spans="1:18" x14ac:dyDescent="0.3">
      <c r="A235" s="32"/>
      <c r="B235" s="33"/>
      <c r="C235" s="33"/>
      <c r="D235" s="33"/>
      <c r="E235" s="33"/>
      <c r="F235" s="33"/>
      <c r="G235" s="33"/>
      <c r="H235" s="33"/>
      <c r="I235" s="33"/>
      <c r="J235" s="33"/>
      <c r="K235" s="33"/>
      <c r="L235" s="34"/>
      <c r="M235" s="34"/>
      <c r="N235" s="33"/>
      <c r="O235" s="32"/>
      <c r="P235" s="33"/>
      <c r="Q235" s="33"/>
      <c r="R235" s="35"/>
    </row>
    <row r="236" spans="1:18" x14ac:dyDescent="0.3">
      <c r="A236" s="28"/>
      <c r="B236" s="29"/>
      <c r="C236" s="29"/>
      <c r="D236" s="29"/>
      <c r="E236" s="29"/>
      <c r="F236" s="29"/>
      <c r="G236" s="29"/>
      <c r="H236" s="29"/>
      <c r="I236" s="29"/>
      <c r="J236" s="29"/>
      <c r="K236" s="29"/>
      <c r="L236" s="30"/>
      <c r="M236" s="30"/>
      <c r="N236" s="29"/>
      <c r="O236" s="28"/>
      <c r="P236" s="29"/>
      <c r="Q236" s="29"/>
      <c r="R236" s="31"/>
    </row>
    <row r="237" spans="1:18" x14ac:dyDescent="0.3">
      <c r="A237" s="32"/>
      <c r="B237" s="33"/>
      <c r="C237" s="33"/>
      <c r="D237" s="33"/>
      <c r="E237" s="33"/>
      <c r="F237" s="33"/>
      <c r="G237" s="33"/>
      <c r="H237" s="33"/>
      <c r="I237" s="33"/>
      <c r="J237" s="33"/>
      <c r="K237" s="33"/>
      <c r="L237" s="34"/>
      <c r="M237" s="34"/>
      <c r="N237" s="33"/>
      <c r="O237" s="32"/>
      <c r="P237" s="33"/>
      <c r="Q237" s="33"/>
      <c r="R237" s="35"/>
    </row>
    <row r="238" spans="1:18" x14ac:dyDescent="0.3">
      <c r="A238" s="28"/>
      <c r="B238" s="29"/>
      <c r="C238" s="29"/>
      <c r="D238" s="29"/>
      <c r="E238" s="29"/>
      <c r="F238" s="29"/>
      <c r="G238" s="29"/>
      <c r="H238" s="29"/>
      <c r="I238" s="29"/>
      <c r="J238" s="29"/>
      <c r="K238" s="29"/>
      <c r="L238" s="30"/>
      <c r="M238" s="30"/>
      <c r="N238" s="29"/>
      <c r="O238" s="28"/>
      <c r="P238" s="29"/>
      <c r="Q238" s="29"/>
      <c r="R238" s="31"/>
    </row>
    <row r="239" spans="1:18" x14ac:dyDescent="0.3">
      <c r="A239" s="32"/>
      <c r="B239" s="33"/>
      <c r="C239" s="33"/>
      <c r="D239" s="33"/>
      <c r="E239" s="33"/>
      <c r="F239" s="33"/>
      <c r="G239" s="33"/>
      <c r="H239" s="33"/>
      <c r="I239" s="33"/>
      <c r="J239" s="33"/>
      <c r="K239" s="33"/>
      <c r="L239" s="34"/>
      <c r="M239" s="34"/>
      <c r="N239" s="33"/>
      <c r="O239" s="32"/>
      <c r="P239" s="33"/>
      <c r="Q239" s="33"/>
      <c r="R239" s="35"/>
    </row>
    <row r="240" spans="1:18" x14ac:dyDescent="0.3">
      <c r="A240" s="28"/>
      <c r="B240" s="29"/>
      <c r="C240" s="29"/>
      <c r="D240" s="29"/>
      <c r="E240" s="29"/>
      <c r="F240" s="29"/>
      <c r="G240" s="29"/>
      <c r="H240" s="29"/>
      <c r="I240" s="29"/>
      <c r="J240" s="29"/>
      <c r="K240" s="29"/>
      <c r="L240" s="30"/>
      <c r="M240" s="30"/>
      <c r="N240" s="29"/>
      <c r="O240" s="28"/>
      <c r="P240" s="29"/>
      <c r="Q240" s="29"/>
      <c r="R240" s="31"/>
    </row>
    <row r="241" spans="1:18" x14ac:dyDescent="0.3">
      <c r="A241" s="32"/>
      <c r="B241" s="33"/>
      <c r="C241" s="33"/>
      <c r="D241" s="33"/>
      <c r="E241" s="33"/>
      <c r="F241" s="33"/>
      <c r="G241" s="33"/>
      <c r="H241" s="33"/>
      <c r="I241" s="33"/>
      <c r="J241" s="33"/>
      <c r="K241" s="33"/>
      <c r="L241" s="34"/>
      <c r="M241" s="34"/>
      <c r="N241" s="33"/>
      <c r="O241" s="32"/>
      <c r="P241" s="33"/>
      <c r="Q241" s="33"/>
      <c r="R241" s="35"/>
    </row>
    <row r="242" spans="1:18" x14ac:dyDescent="0.3">
      <c r="A242" s="28"/>
      <c r="B242" s="29"/>
      <c r="C242" s="29"/>
      <c r="D242" s="29"/>
      <c r="E242" s="29"/>
      <c r="F242" s="29"/>
      <c r="G242" s="29"/>
      <c r="H242" s="29"/>
      <c r="I242" s="29"/>
      <c r="J242" s="29"/>
      <c r="K242" s="29"/>
      <c r="L242" s="30"/>
      <c r="M242" s="30"/>
      <c r="N242" s="29"/>
      <c r="O242" s="28"/>
      <c r="P242" s="29"/>
      <c r="Q242" s="29"/>
      <c r="R242" s="31"/>
    </row>
    <row r="243" spans="1:18" x14ac:dyDescent="0.3">
      <c r="A243" s="32"/>
      <c r="B243" s="33"/>
      <c r="C243" s="33"/>
      <c r="D243" s="33"/>
      <c r="E243" s="33"/>
      <c r="F243" s="33"/>
      <c r="G243" s="33"/>
      <c r="H243" s="33"/>
      <c r="I243" s="33"/>
      <c r="J243" s="33"/>
      <c r="K243" s="33"/>
      <c r="L243" s="34"/>
      <c r="M243" s="34"/>
      <c r="N243" s="33"/>
      <c r="O243" s="32"/>
      <c r="P243" s="33"/>
      <c r="Q243" s="33"/>
      <c r="R243" s="35"/>
    </row>
    <row r="244" spans="1:18" x14ac:dyDescent="0.3">
      <c r="A244" s="28"/>
      <c r="B244" s="29"/>
      <c r="C244" s="29"/>
      <c r="D244" s="29"/>
      <c r="E244" s="29"/>
      <c r="F244" s="29"/>
      <c r="G244" s="29"/>
      <c r="H244" s="29"/>
      <c r="I244" s="29"/>
      <c r="J244" s="29"/>
      <c r="K244" s="29"/>
      <c r="L244" s="30"/>
      <c r="M244" s="30"/>
      <c r="N244" s="29"/>
      <c r="O244" s="28"/>
      <c r="P244" s="29"/>
      <c r="Q244" s="29"/>
      <c r="R244" s="31"/>
    </row>
    <row r="245" spans="1:18" x14ac:dyDescent="0.3">
      <c r="A245" s="32"/>
      <c r="B245" s="33"/>
      <c r="C245" s="33"/>
      <c r="D245" s="33"/>
      <c r="E245" s="33"/>
      <c r="F245" s="33"/>
      <c r="G245" s="33"/>
      <c r="H245" s="33"/>
      <c r="I245" s="33"/>
      <c r="J245" s="33"/>
      <c r="K245" s="33"/>
      <c r="L245" s="34"/>
      <c r="M245" s="34"/>
      <c r="N245" s="33"/>
      <c r="O245" s="32"/>
      <c r="P245" s="33"/>
      <c r="Q245" s="33"/>
      <c r="R245" s="35"/>
    </row>
    <row r="246" spans="1:18" x14ac:dyDescent="0.3">
      <c r="A246" s="28"/>
      <c r="B246" s="29"/>
      <c r="C246" s="29"/>
      <c r="D246" s="29"/>
      <c r="E246" s="29"/>
      <c r="F246" s="29"/>
      <c r="G246" s="29"/>
      <c r="H246" s="29"/>
      <c r="I246" s="29"/>
      <c r="J246" s="29"/>
      <c r="K246" s="29"/>
      <c r="L246" s="30"/>
      <c r="M246" s="30"/>
      <c r="N246" s="29"/>
      <c r="O246" s="28"/>
      <c r="P246" s="29"/>
      <c r="Q246" s="29"/>
      <c r="R246" s="31"/>
    </row>
    <row r="247" spans="1:18" x14ac:dyDescent="0.3">
      <c r="A247" s="32"/>
      <c r="B247" s="33"/>
      <c r="C247" s="33"/>
      <c r="D247" s="33"/>
      <c r="E247" s="33"/>
      <c r="F247" s="33"/>
      <c r="G247" s="33"/>
      <c r="H247" s="33"/>
      <c r="I247" s="33"/>
      <c r="J247" s="33"/>
      <c r="K247" s="33"/>
      <c r="L247" s="34"/>
      <c r="M247" s="34"/>
      <c r="N247" s="33"/>
      <c r="O247" s="32"/>
      <c r="P247" s="33"/>
      <c r="Q247" s="33"/>
      <c r="R247" s="35"/>
    </row>
    <row r="248" spans="1:18" x14ac:dyDescent="0.3">
      <c r="A248" s="28"/>
      <c r="B248" s="29"/>
      <c r="C248" s="29"/>
      <c r="D248" s="29"/>
      <c r="E248" s="29"/>
      <c r="F248" s="29"/>
      <c r="G248" s="29"/>
      <c r="H248" s="29"/>
      <c r="I248" s="29"/>
      <c r="J248" s="29"/>
      <c r="K248" s="29"/>
      <c r="L248" s="30"/>
      <c r="M248" s="30"/>
      <c r="N248" s="29"/>
      <c r="O248" s="28"/>
      <c r="P248" s="29"/>
      <c r="Q248" s="29"/>
      <c r="R248" s="31"/>
    </row>
    <row r="249" spans="1:18" x14ac:dyDescent="0.3">
      <c r="A249" s="32"/>
      <c r="B249" s="33"/>
      <c r="C249" s="33"/>
      <c r="D249" s="33"/>
      <c r="E249" s="33"/>
      <c r="F249" s="33"/>
      <c r="G249" s="33"/>
      <c r="H249" s="33"/>
      <c r="I249" s="33"/>
      <c r="J249" s="33"/>
      <c r="K249" s="33"/>
      <c r="L249" s="34"/>
      <c r="M249" s="34"/>
      <c r="N249" s="33"/>
      <c r="O249" s="32"/>
      <c r="P249" s="33"/>
      <c r="Q249" s="33"/>
      <c r="R249" s="35"/>
    </row>
    <row r="250" spans="1:18" x14ac:dyDescent="0.3">
      <c r="A250" s="28"/>
      <c r="B250" s="29"/>
      <c r="C250" s="29"/>
      <c r="D250" s="29"/>
      <c r="E250" s="29"/>
      <c r="F250" s="29"/>
      <c r="G250" s="29"/>
      <c r="H250" s="29"/>
      <c r="I250" s="29"/>
      <c r="J250" s="29"/>
      <c r="K250" s="29"/>
      <c r="L250" s="30"/>
      <c r="M250" s="30"/>
      <c r="N250" s="29"/>
      <c r="O250" s="28"/>
      <c r="P250" s="29"/>
      <c r="Q250" s="29"/>
      <c r="R250" s="31"/>
    </row>
    <row r="251" spans="1:18" x14ac:dyDescent="0.3">
      <c r="A251" s="32"/>
      <c r="B251" s="33"/>
      <c r="C251" s="33"/>
      <c r="D251" s="33"/>
      <c r="E251" s="33"/>
      <c r="F251" s="33"/>
      <c r="G251" s="33"/>
      <c r="H251" s="33"/>
      <c r="I251" s="33"/>
      <c r="J251" s="33"/>
      <c r="K251" s="33"/>
      <c r="L251" s="34"/>
      <c r="M251" s="34"/>
      <c r="N251" s="33"/>
      <c r="O251" s="32"/>
      <c r="P251" s="33"/>
      <c r="Q251" s="33"/>
      <c r="R251" s="35"/>
    </row>
    <row r="252" spans="1:18" x14ac:dyDescent="0.3">
      <c r="A252" s="28"/>
      <c r="B252" s="29"/>
      <c r="C252" s="29"/>
      <c r="D252" s="29"/>
      <c r="E252" s="29"/>
      <c r="F252" s="29"/>
      <c r="G252" s="29"/>
      <c r="H252" s="29"/>
      <c r="I252" s="29"/>
      <c r="J252" s="29"/>
      <c r="K252" s="29"/>
      <c r="L252" s="30"/>
      <c r="M252" s="30"/>
      <c r="N252" s="29"/>
      <c r="O252" s="28"/>
      <c r="P252" s="29"/>
      <c r="Q252" s="29"/>
      <c r="R252" s="31"/>
    </row>
    <row r="253" spans="1:18" x14ac:dyDescent="0.3">
      <c r="A253" s="32"/>
      <c r="B253" s="33"/>
      <c r="C253" s="33"/>
      <c r="D253" s="33"/>
      <c r="E253" s="33"/>
      <c r="F253" s="33"/>
      <c r="G253" s="33"/>
      <c r="H253" s="33"/>
      <c r="I253" s="33"/>
      <c r="J253" s="33"/>
      <c r="K253" s="33"/>
      <c r="L253" s="34"/>
      <c r="M253" s="34"/>
      <c r="N253" s="33"/>
      <c r="O253" s="32"/>
      <c r="P253" s="33"/>
      <c r="Q253" s="33"/>
      <c r="R253" s="35"/>
    </row>
    <row r="254" spans="1:18" x14ac:dyDescent="0.3">
      <c r="A254" s="28"/>
      <c r="B254" s="29"/>
      <c r="C254" s="29"/>
      <c r="D254" s="29"/>
      <c r="E254" s="29"/>
      <c r="F254" s="29"/>
      <c r="G254" s="29"/>
      <c r="H254" s="29"/>
      <c r="I254" s="29"/>
      <c r="J254" s="29"/>
      <c r="K254" s="29"/>
      <c r="L254" s="30"/>
      <c r="M254" s="30"/>
      <c r="N254" s="29"/>
      <c r="O254" s="28"/>
      <c r="P254" s="29"/>
      <c r="Q254" s="29"/>
      <c r="R254" s="31"/>
    </row>
    <row r="255" spans="1:18" x14ac:dyDescent="0.3">
      <c r="A255" s="32"/>
      <c r="B255" s="33"/>
      <c r="C255" s="33"/>
      <c r="D255" s="33"/>
      <c r="E255" s="33"/>
      <c r="F255" s="33"/>
      <c r="G255" s="33"/>
      <c r="H255" s="33"/>
      <c r="I255" s="33"/>
      <c r="J255" s="33"/>
      <c r="K255" s="33"/>
      <c r="L255" s="34"/>
      <c r="M255" s="34"/>
      <c r="N255" s="33"/>
      <c r="O255" s="32"/>
      <c r="P255" s="33"/>
      <c r="Q255" s="33"/>
      <c r="R255" s="35"/>
    </row>
    <row r="256" spans="1:18" x14ac:dyDescent="0.3">
      <c r="A256" s="28"/>
      <c r="B256" s="29"/>
      <c r="C256" s="29"/>
      <c r="D256" s="29"/>
      <c r="E256" s="29"/>
      <c r="F256" s="29"/>
      <c r="G256" s="29"/>
      <c r="H256" s="29"/>
      <c r="I256" s="29"/>
      <c r="J256" s="29"/>
      <c r="K256" s="29"/>
      <c r="L256" s="30"/>
      <c r="M256" s="30"/>
      <c r="N256" s="29"/>
      <c r="O256" s="28"/>
      <c r="P256" s="29"/>
      <c r="Q256" s="29"/>
      <c r="R256" s="31"/>
    </row>
    <row r="257" spans="1:18" x14ac:dyDescent="0.3">
      <c r="A257" s="32"/>
      <c r="B257" s="33"/>
      <c r="C257" s="33"/>
      <c r="D257" s="33"/>
      <c r="E257" s="33"/>
      <c r="F257" s="33"/>
      <c r="G257" s="33"/>
      <c r="H257" s="33"/>
      <c r="I257" s="33"/>
      <c r="J257" s="33"/>
      <c r="K257" s="33"/>
      <c r="L257" s="34"/>
      <c r="M257" s="34"/>
      <c r="N257" s="33"/>
      <c r="O257" s="32"/>
      <c r="P257" s="33"/>
      <c r="Q257" s="33"/>
      <c r="R257" s="35"/>
    </row>
    <row r="258" spans="1:18" x14ac:dyDescent="0.3">
      <c r="A258" s="28"/>
      <c r="B258" s="29"/>
      <c r="C258" s="29"/>
      <c r="D258" s="29"/>
      <c r="E258" s="29"/>
      <c r="F258" s="29"/>
      <c r="G258" s="29"/>
      <c r="H258" s="29"/>
      <c r="I258" s="29"/>
      <c r="J258" s="29"/>
      <c r="K258" s="29"/>
      <c r="L258" s="30"/>
      <c r="M258" s="30"/>
      <c r="N258" s="29"/>
      <c r="O258" s="28"/>
      <c r="P258" s="29"/>
      <c r="Q258" s="29"/>
      <c r="R258" s="31"/>
    </row>
    <row r="259" spans="1:18" x14ac:dyDescent="0.3">
      <c r="A259" s="32"/>
      <c r="B259" s="33"/>
      <c r="C259" s="33"/>
      <c r="D259" s="33"/>
      <c r="E259" s="33"/>
      <c r="F259" s="33"/>
      <c r="G259" s="33"/>
      <c r="H259" s="33"/>
      <c r="I259" s="33"/>
      <c r="J259" s="33"/>
      <c r="K259" s="33"/>
      <c r="L259" s="34"/>
      <c r="M259" s="34"/>
      <c r="N259" s="33"/>
      <c r="O259" s="32"/>
      <c r="P259" s="33"/>
      <c r="Q259" s="33"/>
      <c r="R259" s="35"/>
    </row>
    <row r="260" spans="1:18" x14ac:dyDescent="0.3">
      <c r="A260" s="28"/>
      <c r="B260" s="29"/>
      <c r="C260" s="29"/>
      <c r="D260" s="29"/>
      <c r="E260" s="29"/>
      <c r="F260" s="29"/>
      <c r="G260" s="29"/>
      <c r="H260" s="29"/>
      <c r="I260" s="29"/>
      <c r="J260" s="29"/>
      <c r="K260" s="29"/>
      <c r="L260" s="30"/>
      <c r="M260" s="30"/>
      <c r="N260" s="29"/>
      <c r="O260" s="28"/>
      <c r="P260" s="29"/>
      <c r="Q260" s="29"/>
      <c r="R260" s="31"/>
    </row>
    <row r="261" spans="1:18" x14ac:dyDescent="0.3">
      <c r="A261" s="32"/>
      <c r="B261" s="33"/>
      <c r="C261" s="33"/>
      <c r="D261" s="33"/>
      <c r="E261" s="33"/>
      <c r="F261" s="33"/>
      <c r="G261" s="33"/>
      <c r="H261" s="33"/>
      <c r="I261" s="33"/>
      <c r="J261" s="33"/>
      <c r="K261" s="33"/>
      <c r="L261" s="34"/>
      <c r="M261" s="34"/>
      <c r="N261" s="33"/>
      <c r="O261" s="32"/>
      <c r="P261" s="33"/>
      <c r="Q261" s="33"/>
      <c r="R261" s="35"/>
    </row>
    <row r="262" spans="1:18" x14ac:dyDescent="0.3">
      <c r="A262" s="28"/>
      <c r="B262" s="29"/>
      <c r="C262" s="29"/>
      <c r="D262" s="29"/>
      <c r="E262" s="29"/>
      <c r="F262" s="29"/>
      <c r="G262" s="29"/>
      <c r="H262" s="29"/>
      <c r="I262" s="29"/>
      <c r="J262" s="29"/>
      <c r="K262" s="29"/>
      <c r="L262" s="30"/>
      <c r="M262" s="30"/>
      <c r="N262" s="29"/>
      <c r="O262" s="28"/>
      <c r="P262" s="29"/>
      <c r="Q262" s="29"/>
      <c r="R262" s="31"/>
    </row>
    <row r="263" spans="1:18" x14ac:dyDescent="0.3">
      <c r="A263" s="32"/>
      <c r="B263" s="33"/>
      <c r="C263" s="33"/>
      <c r="D263" s="33"/>
      <c r="E263" s="33"/>
      <c r="F263" s="33"/>
      <c r="G263" s="33"/>
      <c r="H263" s="33"/>
      <c r="I263" s="33"/>
      <c r="J263" s="33"/>
      <c r="K263" s="33"/>
      <c r="L263" s="34"/>
      <c r="M263" s="34"/>
      <c r="N263" s="33"/>
      <c r="O263" s="32"/>
      <c r="P263" s="33"/>
      <c r="Q263" s="33"/>
      <c r="R263" s="35"/>
    </row>
    <row r="264" spans="1:18" x14ac:dyDescent="0.3">
      <c r="A264" s="28"/>
      <c r="B264" s="29"/>
      <c r="C264" s="29"/>
      <c r="D264" s="29"/>
      <c r="E264" s="29"/>
      <c r="F264" s="29"/>
      <c r="G264" s="29"/>
      <c r="H264" s="29"/>
      <c r="I264" s="29"/>
      <c r="J264" s="29"/>
      <c r="K264" s="29"/>
      <c r="L264" s="30"/>
      <c r="M264" s="30"/>
      <c r="N264" s="29"/>
      <c r="O264" s="28"/>
      <c r="P264" s="29"/>
      <c r="Q264" s="29"/>
      <c r="R264" s="31"/>
    </row>
    <row r="265" spans="1:18" x14ac:dyDescent="0.3">
      <c r="A265" s="32"/>
      <c r="B265" s="33"/>
      <c r="C265" s="33"/>
      <c r="D265" s="33"/>
      <c r="E265" s="33"/>
      <c r="F265" s="33"/>
      <c r="G265" s="33"/>
      <c r="H265" s="33"/>
      <c r="I265" s="33"/>
      <c r="J265" s="33"/>
      <c r="K265" s="33"/>
      <c r="L265" s="34"/>
      <c r="M265" s="34"/>
      <c r="N265" s="33"/>
      <c r="O265" s="32"/>
      <c r="P265" s="33"/>
      <c r="Q265" s="33"/>
      <c r="R265" s="35"/>
    </row>
    <row r="266" spans="1:18" x14ac:dyDescent="0.3">
      <c r="A266" s="28"/>
      <c r="B266" s="29"/>
      <c r="C266" s="29"/>
      <c r="D266" s="29"/>
      <c r="E266" s="29"/>
      <c r="F266" s="29"/>
      <c r="G266" s="29"/>
      <c r="H266" s="29"/>
      <c r="I266" s="29"/>
      <c r="J266" s="29"/>
      <c r="K266" s="29"/>
      <c r="L266" s="30"/>
      <c r="M266" s="30"/>
      <c r="N266" s="29"/>
      <c r="O266" s="28"/>
      <c r="P266" s="29"/>
      <c r="Q266" s="29"/>
      <c r="R266" s="31"/>
    </row>
    <row r="267" spans="1:18" x14ac:dyDescent="0.3">
      <c r="A267" s="32"/>
      <c r="B267" s="33"/>
      <c r="C267" s="33"/>
      <c r="D267" s="33"/>
      <c r="E267" s="33"/>
      <c r="F267" s="33"/>
      <c r="G267" s="33"/>
      <c r="H267" s="33"/>
      <c r="I267" s="33"/>
      <c r="J267" s="33"/>
      <c r="K267" s="33"/>
      <c r="L267" s="34"/>
      <c r="M267" s="34"/>
      <c r="N267" s="33"/>
      <c r="O267" s="32"/>
      <c r="P267" s="33"/>
      <c r="Q267" s="33"/>
      <c r="R267" s="35"/>
    </row>
    <row r="268" spans="1:18" x14ac:dyDescent="0.3">
      <c r="A268" s="28"/>
      <c r="B268" s="29"/>
      <c r="C268" s="29"/>
      <c r="D268" s="29"/>
      <c r="E268" s="29"/>
      <c r="F268" s="29"/>
      <c r="G268" s="29"/>
      <c r="H268" s="29"/>
      <c r="I268" s="29"/>
      <c r="J268" s="29"/>
      <c r="K268" s="29"/>
      <c r="L268" s="30"/>
      <c r="M268" s="30"/>
      <c r="N268" s="29"/>
      <c r="O268" s="28"/>
      <c r="P268" s="29"/>
      <c r="Q268" s="29"/>
      <c r="R268" s="31"/>
    </row>
    <row r="269" spans="1:18" x14ac:dyDescent="0.3">
      <c r="A269" s="32"/>
      <c r="B269" s="33"/>
      <c r="C269" s="33"/>
      <c r="D269" s="33"/>
      <c r="E269" s="33"/>
      <c r="F269" s="33"/>
      <c r="G269" s="33"/>
      <c r="H269" s="33"/>
      <c r="I269" s="33"/>
      <c r="J269" s="33"/>
      <c r="K269" s="33"/>
      <c r="L269" s="34"/>
      <c r="M269" s="34"/>
      <c r="N269" s="33"/>
      <c r="O269" s="32"/>
      <c r="P269" s="33"/>
      <c r="Q269" s="33"/>
      <c r="R269" s="35"/>
    </row>
    <row r="270" spans="1:18" x14ac:dyDescent="0.3">
      <c r="A270" s="28"/>
      <c r="B270" s="29"/>
      <c r="C270" s="29"/>
      <c r="D270" s="29"/>
      <c r="E270" s="29"/>
      <c r="F270" s="29"/>
      <c r="G270" s="29"/>
      <c r="H270" s="29"/>
      <c r="I270" s="29"/>
      <c r="J270" s="29"/>
      <c r="K270" s="29"/>
      <c r="L270" s="30"/>
      <c r="M270" s="30"/>
      <c r="N270" s="29"/>
      <c r="O270" s="28"/>
      <c r="P270" s="29"/>
      <c r="Q270" s="29"/>
      <c r="R270" s="31"/>
    </row>
    <row r="271" spans="1:18" x14ac:dyDescent="0.3">
      <c r="A271" s="32"/>
      <c r="B271" s="33"/>
      <c r="C271" s="33"/>
      <c r="D271" s="33"/>
      <c r="E271" s="33"/>
      <c r="F271" s="33"/>
      <c r="G271" s="33"/>
      <c r="H271" s="33"/>
      <c r="I271" s="33"/>
      <c r="J271" s="33"/>
      <c r="K271" s="33"/>
      <c r="L271" s="34"/>
      <c r="M271" s="34"/>
      <c r="N271" s="33"/>
      <c r="O271" s="32"/>
      <c r="P271" s="33"/>
      <c r="Q271" s="33"/>
      <c r="R271" s="35"/>
    </row>
    <row r="272" spans="1:18" x14ac:dyDescent="0.3">
      <c r="A272" s="28"/>
      <c r="B272" s="29"/>
      <c r="C272" s="29"/>
      <c r="D272" s="29"/>
      <c r="E272" s="29"/>
      <c r="F272" s="29"/>
      <c r="G272" s="29"/>
      <c r="H272" s="29"/>
      <c r="I272" s="29"/>
      <c r="J272" s="29"/>
      <c r="K272" s="29"/>
      <c r="L272" s="30"/>
      <c r="M272" s="30"/>
      <c r="N272" s="29"/>
      <c r="O272" s="28"/>
      <c r="P272" s="29"/>
      <c r="Q272" s="29"/>
      <c r="R272" s="31"/>
    </row>
    <row r="273" spans="1:18" x14ac:dyDescent="0.3">
      <c r="A273" s="32"/>
      <c r="B273" s="33"/>
      <c r="C273" s="33"/>
      <c r="D273" s="33"/>
      <c r="E273" s="33"/>
      <c r="F273" s="33"/>
      <c r="G273" s="33"/>
      <c r="H273" s="33"/>
      <c r="I273" s="33"/>
      <c r="J273" s="33"/>
      <c r="K273" s="33"/>
      <c r="L273" s="34"/>
      <c r="M273" s="34"/>
      <c r="N273" s="33"/>
      <c r="O273" s="32"/>
      <c r="P273" s="33"/>
      <c r="Q273" s="33"/>
      <c r="R273" s="35"/>
    </row>
    <row r="274" spans="1:18" x14ac:dyDescent="0.3">
      <c r="A274" s="28"/>
      <c r="B274" s="29"/>
      <c r="C274" s="29"/>
      <c r="D274" s="29"/>
      <c r="E274" s="29"/>
      <c r="F274" s="29"/>
      <c r="G274" s="29"/>
      <c r="H274" s="29"/>
      <c r="I274" s="29"/>
      <c r="J274" s="29"/>
      <c r="K274" s="29"/>
      <c r="L274" s="30"/>
      <c r="M274" s="30"/>
      <c r="N274" s="29"/>
      <c r="O274" s="28"/>
      <c r="P274" s="29"/>
      <c r="Q274" s="29"/>
      <c r="R274" s="31"/>
    </row>
    <row r="275" spans="1:18" x14ac:dyDescent="0.3">
      <c r="A275" s="32"/>
      <c r="B275" s="33"/>
      <c r="C275" s="33"/>
      <c r="D275" s="33"/>
      <c r="E275" s="33"/>
      <c r="F275" s="33"/>
      <c r="G275" s="33"/>
      <c r="H275" s="33"/>
      <c r="I275" s="33"/>
      <c r="J275" s="33"/>
      <c r="K275" s="33"/>
      <c r="L275" s="34"/>
      <c r="M275" s="34"/>
      <c r="N275" s="33"/>
      <c r="O275" s="32"/>
      <c r="P275" s="33"/>
      <c r="Q275" s="33"/>
      <c r="R275" s="35"/>
    </row>
    <row r="276" spans="1:18" x14ac:dyDescent="0.3">
      <c r="A276" s="28"/>
      <c r="B276" s="29"/>
      <c r="C276" s="29"/>
      <c r="D276" s="29"/>
      <c r="E276" s="29"/>
      <c r="F276" s="29"/>
      <c r="G276" s="29"/>
      <c r="H276" s="29"/>
      <c r="I276" s="29"/>
      <c r="J276" s="29"/>
      <c r="K276" s="29"/>
      <c r="L276" s="30"/>
      <c r="M276" s="30"/>
      <c r="N276" s="29"/>
      <c r="O276" s="28"/>
      <c r="P276" s="29"/>
      <c r="Q276" s="29"/>
      <c r="R276" s="31"/>
    </row>
    <row r="277" spans="1:18" x14ac:dyDescent="0.3">
      <c r="A277" s="32"/>
      <c r="B277" s="33"/>
      <c r="C277" s="33"/>
      <c r="D277" s="33"/>
      <c r="E277" s="33"/>
      <c r="F277" s="33"/>
      <c r="G277" s="33"/>
      <c r="H277" s="33"/>
      <c r="I277" s="33"/>
      <c r="J277" s="33"/>
      <c r="K277" s="33"/>
      <c r="L277" s="34"/>
      <c r="M277" s="34"/>
      <c r="N277" s="33"/>
      <c r="O277" s="32"/>
      <c r="P277" s="33"/>
      <c r="Q277" s="33"/>
      <c r="R277" s="35"/>
    </row>
    <row r="278" spans="1:18" x14ac:dyDescent="0.3">
      <c r="A278" s="28"/>
      <c r="B278" s="29"/>
      <c r="C278" s="29"/>
      <c r="D278" s="29"/>
      <c r="E278" s="29"/>
      <c r="F278" s="29"/>
      <c r="G278" s="29"/>
      <c r="H278" s="29"/>
      <c r="I278" s="29"/>
      <c r="J278" s="29"/>
      <c r="K278" s="29"/>
      <c r="L278" s="30"/>
      <c r="M278" s="30"/>
      <c r="N278" s="29"/>
      <c r="O278" s="28"/>
      <c r="P278" s="29"/>
      <c r="Q278" s="29"/>
      <c r="R278" s="31"/>
    </row>
    <row r="279" spans="1:18" x14ac:dyDescent="0.3">
      <c r="A279" s="32"/>
      <c r="B279" s="33"/>
      <c r="C279" s="33"/>
      <c r="D279" s="33"/>
      <c r="E279" s="33"/>
      <c r="F279" s="33"/>
      <c r="G279" s="33"/>
      <c r="H279" s="33"/>
      <c r="I279" s="33"/>
      <c r="J279" s="33"/>
      <c r="K279" s="33"/>
      <c r="L279" s="34"/>
      <c r="M279" s="34"/>
      <c r="N279" s="33"/>
      <c r="O279" s="32"/>
      <c r="P279" s="33"/>
      <c r="Q279" s="33"/>
      <c r="R279" s="35"/>
    </row>
    <row r="280" spans="1:18" x14ac:dyDescent="0.3">
      <c r="A280" s="28"/>
      <c r="B280" s="29"/>
      <c r="C280" s="29"/>
      <c r="D280" s="29"/>
      <c r="E280" s="29"/>
      <c r="F280" s="29"/>
      <c r="G280" s="29"/>
      <c r="H280" s="29"/>
      <c r="I280" s="29"/>
      <c r="J280" s="29"/>
      <c r="K280" s="29"/>
      <c r="L280" s="30"/>
      <c r="M280" s="30"/>
      <c r="N280" s="29"/>
      <c r="O280" s="28"/>
      <c r="P280" s="29"/>
      <c r="Q280" s="29"/>
      <c r="R280" s="31"/>
    </row>
    <row r="281" spans="1:18" x14ac:dyDescent="0.3">
      <c r="A281" s="32"/>
      <c r="B281" s="33"/>
      <c r="C281" s="33"/>
      <c r="D281" s="33"/>
      <c r="E281" s="33"/>
      <c r="F281" s="33"/>
      <c r="G281" s="33"/>
      <c r="H281" s="33"/>
      <c r="I281" s="33"/>
      <c r="J281" s="33"/>
      <c r="K281" s="33"/>
      <c r="L281" s="34"/>
      <c r="M281" s="34"/>
      <c r="N281" s="33"/>
      <c r="O281" s="32"/>
      <c r="P281" s="33"/>
      <c r="Q281" s="33"/>
      <c r="R281" s="35"/>
    </row>
    <row r="282" spans="1:18" x14ac:dyDescent="0.3">
      <c r="A282" s="28"/>
      <c r="B282" s="29"/>
      <c r="C282" s="29"/>
      <c r="D282" s="29"/>
      <c r="E282" s="29"/>
      <c r="F282" s="29"/>
      <c r="G282" s="29"/>
      <c r="H282" s="29"/>
      <c r="I282" s="29"/>
      <c r="J282" s="29"/>
      <c r="K282" s="29"/>
      <c r="L282" s="30"/>
      <c r="M282" s="30"/>
      <c r="N282" s="29"/>
      <c r="O282" s="28"/>
      <c r="P282" s="29"/>
      <c r="Q282" s="29"/>
      <c r="R282" s="31"/>
    </row>
    <row r="283" spans="1:18" x14ac:dyDescent="0.3">
      <c r="A283" s="32"/>
      <c r="B283" s="33"/>
      <c r="C283" s="33"/>
      <c r="D283" s="33"/>
      <c r="E283" s="33"/>
      <c r="F283" s="33"/>
      <c r="G283" s="33"/>
      <c r="H283" s="33"/>
      <c r="I283" s="33"/>
      <c r="J283" s="33"/>
      <c r="K283" s="33"/>
      <c r="L283" s="34"/>
      <c r="M283" s="34"/>
      <c r="N283" s="33"/>
      <c r="O283" s="32"/>
      <c r="P283" s="33"/>
      <c r="Q283" s="33"/>
      <c r="R283" s="35"/>
    </row>
    <row r="284" spans="1:18" x14ac:dyDescent="0.3">
      <c r="A284" s="28"/>
      <c r="B284" s="29"/>
      <c r="C284" s="29"/>
      <c r="D284" s="29"/>
      <c r="E284" s="29"/>
      <c r="F284" s="29"/>
      <c r="G284" s="29"/>
      <c r="H284" s="29"/>
      <c r="I284" s="29"/>
      <c r="J284" s="29"/>
      <c r="K284" s="29"/>
      <c r="L284" s="30"/>
      <c r="M284" s="30"/>
      <c r="N284" s="29"/>
      <c r="O284" s="28"/>
      <c r="P284" s="29"/>
      <c r="Q284" s="29"/>
      <c r="R284" s="31"/>
    </row>
    <row r="285" spans="1:18" x14ac:dyDescent="0.3">
      <c r="A285" s="32"/>
      <c r="B285" s="33"/>
      <c r="C285" s="33"/>
      <c r="D285" s="33"/>
      <c r="E285" s="33"/>
      <c r="F285" s="33"/>
      <c r="G285" s="33"/>
      <c r="H285" s="33"/>
      <c r="I285" s="33"/>
      <c r="J285" s="33"/>
      <c r="K285" s="33"/>
      <c r="L285" s="34"/>
      <c r="M285" s="34"/>
      <c r="N285" s="33"/>
      <c r="O285" s="32"/>
      <c r="P285" s="33"/>
      <c r="Q285" s="33"/>
      <c r="R285" s="35"/>
    </row>
    <row r="286" spans="1:18" x14ac:dyDescent="0.3">
      <c r="A286" s="28"/>
      <c r="B286" s="29"/>
      <c r="C286" s="29"/>
      <c r="D286" s="29"/>
      <c r="E286" s="29"/>
      <c r="F286" s="29"/>
      <c r="G286" s="29"/>
      <c r="H286" s="29"/>
      <c r="I286" s="29"/>
      <c r="J286" s="29"/>
      <c r="K286" s="29"/>
      <c r="L286" s="30"/>
      <c r="M286" s="30"/>
      <c r="N286" s="29"/>
      <c r="O286" s="28"/>
      <c r="P286" s="29"/>
      <c r="Q286" s="29"/>
      <c r="R286" s="31"/>
    </row>
    <row r="287" spans="1:18" x14ac:dyDescent="0.3">
      <c r="A287" s="32"/>
      <c r="B287" s="33"/>
      <c r="C287" s="33"/>
      <c r="D287" s="33"/>
      <c r="E287" s="33"/>
      <c r="F287" s="33"/>
      <c r="G287" s="33"/>
      <c r="H287" s="33"/>
      <c r="I287" s="33"/>
      <c r="J287" s="33"/>
      <c r="K287" s="33"/>
      <c r="L287" s="34"/>
      <c r="M287" s="34"/>
      <c r="N287" s="33"/>
      <c r="O287" s="32"/>
      <c r="P287" s="33"/>
      <c r="Q287" s="33"/>
      <c r="R287" s="35"/>
    </row>
    <row r="288" spans="1:18" x14ac:dyDescent="0.3">
      <c r="A288" s="28"/>
      <c r="B288" s="29"/>
      <c r="C288" s="29"/>
      <c r="D288" s="29"/>
      <c r="E288" s="29"/>
      <c r="F288" s="29"/>
      <c r="G288" s="29"/>
      <c r="H288" s="29"/>
      <c r="I288" s="29"/>
      <c r="J288" s="29"/>
      <c r="K288" s="29"/>
      <c r="L288" s="30"/>
      <c r="M288" s="30"/>
      <c r="N288" s="29"/>
      <c r="O288" s="28"/>
      <c r="P288" s="29"/>
      <c r="Q288" s="29"/>
      <c r="R288" s="31"/>
    </row>
    <row r="289" spans="1:18" x14ac:dyDescent="0.3">
      <c r="A289" s="32"/>
      <c r="B289" s="33"/>
      <c r="C289" s="33"/>
      <c r="D289" s="33"/>
      <c r="E289" s="33"/>
      <c r="F289" s="33"/>
      <c r="G289" s="33"/>
      <c r="H289" s="33"/>
      <c r="I289" s="33"/>
      <c r="J289" s="33"/>
      <c r="K289" s="33"/>
      <c r="L289" s="34"/>
      <c r="M289" s="34"/>
      <c r="N289" s="33"/>
      <c r="O289" s="32"/>
      <c r="P289" s="33"/>
      <c r="Q289" s="33"/>
      <c r="R289" s="35"/>
    </row>
    <row r="290" spans="1:18" x14ac:dyDescent="0.3">
      <c r="A290" s="28"/>
      <c r="B290" s="29"/>
      <c r="C290" s="29"/>
      <c r="D290" s="29"/>
      <c r="E290" s="29"/>
      <c r="F290" s="29"/>
      <c r="G290" s="29"/>
      <c r="H290" s="29"/>
      <c r="I290" s="29"/>
      <c r="J290" s="29"/>
      <c r="K290" s="29"/>
      <c r="L290" s="30"/>
      <c r="M290" s="30"/>
      <c r="N290" s="29"/>
      <c r="O290" s="28"/>
      <c r="P290" s="29"/>
      <c r="Q290" s="29"/>
      <c r="R290" s="31"/>
    </row>
    <row r="291" spans="1:18" x14ac:dyDescent="0.3">
      <c r="A291" s="32"/>
      <c r="B291" s="33"/>
      <c r="C291" s="33"/>
      <c r="D291" s="33"/>
      <c r="E291" s="33"/>
      <c r="F291" s="33"/>
      <c r="G291" s="33"/>
      <c r="H291" s="33"/>
      <c r="I291" s="33"/>
      <c r="J291" s="33"/>
      <c r="K291" s="33"/>
      <c r="L291" s="34"/>
      <c r="M291" s="34"/>
      <c r="N291" s="33"/>
      <c r="O291" s="32"/>
      <c r="P291" s="33"/>
      <c r="Q291" s="33"/>
      <c r="R291" s="35"/>
    </row>
    <row r="292" spans="1:18" x14ac:dyDescent="0.3">
      <c r="A292" s="28"/>
      <c r="B292" s="29"/>
      <c r="C292" s="29"/>
      <c r="D292" s="29"/>
      <c r="E292" s="29"/>
      <c r="F292" s="29"/>
      <c r="G292" s="29"/>
      <c r="H292" s="29"/>
      <c r="I292" s="29"/>
      <c r="J292" s="29"/>
      <c r="K292" s="29"/>
      <c r="L292" s="30"/>
      <c r="M292" s="30"/>
      <c r="N292" s="29"/>
      <c r="O292" s="28"/>
      <c r="P292" s="29"/>
      <c r="Q292" s="29"/>
      <c r="R292" s="31"/>
    </row>
    <row r="293" spans="1:18" x14ac:dyDescent="0.3">
      <c r="A293" s="32"/>
      <c r="B293" s="33"/>
      <c r="C293" s="33"/>
      <c r="D293" s="33"/>
      <c r="E293" s="33"/>
      <c r="F293" s="33"/>
      <c r="G293" s="33"/>
      <c r="H293" s="33"/>
      <c r="I293" s="33"/>
      <c r="J293" s="33"/>
      <c r="K293" s="33"/>
      <c r="L293" s="34"/>
      <c r="M293" s="34"/>
      <c r="N293" s="33"/>
      <c r="O293" s="32"/>
      <c r="P293" s="33"/>
      <c r="Q293" s="33"/>
      <c r="R293" s="35"/>
    </row>
    <row r="294" spans="1:18" x14ac:dyDescent="0.3">
      <c r="A294" s="28"/>
      <c r="B294" s="29"/>
      <c r="C294" s="29"/>
      <c r="D294" s="29"/>
      <c r="E294" s="29"/>
      <c r="F294" s="29"/>
      <c r="G294" s="29"/>
      <c r="H294" s="29"/>
      <c r="I294" s="29"/>
      <c r="J294" s="29"/>
      <c r="K294" s="29"/>
      <c r="L294" s="30"/>
      <c r="M294" s="30"/>
      <c r="N294" s="29"/>
      <c r="O294" s="28"/>
      <c r="P294" s="29"/>
      <c r="Q294" s="29"/>
      <c r="R294" s="31"/>
    </row>
    <row r="295" spans="1:18" x14ac:dyDescent="0.3">
      <c r="A295" s="32"/>
      <c r="B295" s="33"/>
      <c r="C295" s="33"/>
      <c r="D295" s="33"/>
      <c r="E295" s="33"/>
      <c r="F295" s="33"/>
      <c r="G295" s="33"/>
      <c r="H295" s="33"/>
      <c r="I295" s="33"/>
      <c r="J295" s="33"/>
      <c r="K295" s="33"/>
      <c r="L295" s="34"/>
      <c r="M295" s="34"/>
      <c r="N295" s="33"/>
      <c r="O295" s="32"/>
      <c r="P295" s="33"/>
      <c r="Q295" s="33"/>
      <c r="R295" s="35"/>
    </row>
    <row r="296" spans="1:18" x14ac:dyDescent="0.3">
      <c r="A296" s="28"/>
      <c r="B296" s="29"/>
      <c r="C296" s="29"/>
      <c r="D296" s="29"/>
      <c r="E296" s="29"/>
      <c r="F296" s="29"/>
      <c r="G296" s="29"/>
      <c r="H296" s="29"/>
      <c r="I296" s="29"/>
      <c r="J296" s="29"/>
      <c r="K296" s="29"/>
      <c r="L296" s="30"/>
      <c r="M296" s="30"/>
      <c r="N296" s="29"/>
      <c r="O296" s="28"/>
      <c r="P296" s="29"/>
      <c r="Q296" s="29"/>
      <c r="R296" s="31"/>
    </row>
    <row r="297" spans="1:18" x14ac:dyDescent="0.3">
      <c r="A297" s="32"/>
      <c r="B297" s="33"/>
      <c r="C297" s="33"/>
      <c r="D297" s="33"/>
      <c r="E297" s="33"/>
      <c r="F297" s="33"/>
      <c r="G297" s="33"/>
      <c r="H297" s="33"/>
      <c r="I297" s="33"/>
      <c r="J297" s="33"/>
      <c r="K297" s="33"/>
      <c r="L297" s="34"/>
      <c r="M297" s="34"/>
      <c r="N297" s="33"/>
      <c r="O297" s="32"/>
      <c r="P297" s="33"/>
      <c r="Q297" s="33"/>
      <c r="R297" s="35"/>
    </row>
    <row r="298" spans="1:18" x14ac:dyDescent="0.3">
      <c r="A298" s="28"/>
      <c r="B298" s="29"/>
      <c r="C298" s="29"/>
      <c r="D298" s="29"/>
      <c r="E298" s="29"/>
      <c r="F298" s="29"/>
      <c r="G298" s="29"/>
      <c r="H298" s="29"/>
      <c r="I298" s="29"/>
      <c r="J298" s="29"/>
      <c r="K298" s="29"/>
      <c r="L298" s="30"/>
      <c r="M298" s="30"/>
      <c r="N298" s="29"/>
      <c r="O298" s="28"/>
      <c r="P298" s="29"/>
      <c r="Q298" s="29"/>
      <c r="R298" s="31"/>
    </row>
    <row r="299" spans="1:18" x14ac:dyDescent="0.3">
      <c r="A299" s="32"/>
      <c r="B299" s="33"/>
      <c r="C299" s="33"/>
      <c r="D299" s="33"/>
      <c r="E299" s="33"/>
      <c r="F299" s="33"/>
      <c r="G299" s="33"/>
      <c r="H299" s="33"/>
      <c r="I299" s="33"/>
      <c r="J299" s="33"/>
      <c r="K299" s="33"/>
      <c r="L299" s="34"/>
      <c r="M299" s="34"/>
      <c r="N299" s="33"/>
      <c r="O299" s="32"/>
      <c r="P299" s="33"/>
      <c r="Q299" s="33"/>
      <c r="R299" s="35"/>
    </row>
    <row r="300" spans="1:18" x14ac:dyDescent="0.3">
      <c r="A300" s="28"/>
      <c r="B300" s="29"/>
      <c r="C300" s="29"/>
      <c r="D300" s="29"/>
      <c r="E300" s="29"/>
      <c r="F300" s="29"/>
      <c r="G300" s="29"/>
      <c r="H300" s="29"/>
      <c r="I300" s="29"/>
      <c r="J300" s="29"/>
      <c r="K300" s="29"/>
      <c r="L300" s="30"/>
      <c r="M300" s="30"/>
      <c r="N300" s="29"/>
      <c r="O300" s="28"/>
      <c r="P300" s="29"/>
      <c r="Q300" s="29"/>
      <c r="R300" s="31"/>
    </row>
    <row r="301" spans="1:18" x14ac:dyDescent="0.3">
      <c r="A301" s="32"/>
      <c r="B301" s="33"/>
      <c r="C301" s="33"/>
      <c r="D301" s="33"/>
      <c r="E301" s="33"/>
      <c r="F301" s="33"/>
      <c r="G301" s="33"/>
      <c r="H301" s="33"/>
      <c r="I301" s="33"/>
      <c r="J301" s="33"/>
      <c r="K301" s="33"/>
      <c r="L301" s="34"/>
      <c r="M301" s="34"/>
      <c r="N301" s="33"/>
      <c r="O301" s="32"/>
      <c r="P301" s="33"/>
      <c r="Q301" s="33"/>
      <c r="R301" s="35"/>
    </row>
    <row r="302" spans="1:18" x14ac:dyDescent="0.3">
      <c r="A302" s="28"/>
      <c r="B302" s="29"/>
      <c r="C302" s="29"/>
      <c r="D302" s="29"/>
      <c r="E302" s="29"/>
      <c r="F302" s="29"/>
      <c r="G302" s="29"/>
      <c r="H302" s="29"/>
      <c r="I302" s="29"/>
      <c r="J302" s="29"/>
      <c r="K302" s="29"/>
      <c r="L302" s="30"/>
      <c r="M302" s="30"/>
      <c r="N302" s="29"/>
      <c r="O302" s="28"/>
      <c r="P302" s="29"/>
      <c r="Q302" s="29"/>
      <c r="R302" s="31"/>
    </row>
    <row r="303" spans="1:18" x14ac:dyDescent="0.3">
      <c r="A303" s="32"/>
      <c r="B303" s="33"/>
      <c r="C303" s="33"/>
      <c r="D303" s="33"/>
      <c r="E303" s="33"/>
      <c r="F303" s="33"/>
      <c r="G303" s="33"/>
      <c r="H303" s="33"/>
      <c r="I303" s="33"/>
      <c r="J303" s="33"/>
      <c r="K303" s="33"/>
      <c r="L303" s="34"/>
      <c r="M303" s="34"/>
      <c r="N303" s="33"/>
      <c r="O303" s="32"/>
      <c r="P303" s="33"/>
      <c r="Q303" s="33"/>
      <c r="R303" s="35"/>
    </row>
    <row r="304" spans="1:18" x14ac:dyDescent="0.3">
      <c r="A304" s="28"/>
      <c r="B304" s="29"/>
      <c r="C304" s="29"/>
      <c r="D304" s="29"/>
      <c r="E304" s="29"/>
      <c r="F304" s="29"/>
      <c r="G304" s="29"/>
      <c r="H304" s="29"/>
      <c r="I304" s="29"/>
      <c r="J304" s="29"/>
      <c r="K304" s="29"/>
      <c r="L304" s="30"/>
      <c r="M304" s="30"/>
      <c r="N304" s="29"/>
      <c r="O304" s="28"/>
      <c r="P304" s="29"/>
      <c r="Q304" s="29"/>
      <c r="R304" s="31"/>
    </row>
    <row r="305" spans="1:18" x14ac:dyDescent="0.3">
      <c r="A305" s="32"/>
      <c r="B305" s="33"/>
      <c r="C305" s="33"/>
      <c r="D305" s="33"/>
      <c r="E305" s="33"/>
      <c r="F305" s="33"/>
      <c r="G305" s="33"/>
      <c r="H305" s="33"/>
      <c r="I305" s="33"/>
      <c r="J305" s="33"/>
      <c r="K305" s="33"/>
      <c r="L305" s="34"/>
      <c r="M305" s="34"/>
      <c r="N305" s="33"/>
      <c r="O305" s="32"/>
      <c r="P305" s="33"/>
      <c r="Q305" s="33"/>
      <c r="R305" s="35"/>
    </row>
    <row r="306" spans="1:18" x14ac:dyDescent="0.3">
      <c r="A306" s="28"/>
      <c r="B306" s="29"/>
      <c r="C306" s="29"/>
      <c r="D306" s="29"/>
      <c r="E306" s="29"/>
      <c r="F306" s="29"/>
      <c r="G306" s="29"/>
      <c r="H306" s="29"/>
      <c r="I306" s="29"/>
      <c r="J306" s="29"/>
      <c r="K306" s="29"/>
      <c r="L306" s="30"/>
      <c r="M306" s="30"/>
      <c r="N306" s="29"/>
      <c r="O306" s="28"/>
      <c r="P306" s="29"/>
      <c r="Q306" s="29"/>
      <c r="R306" s="31"/>
    </row>
    <row r="307" spans="1:18" x14ac:dyDescent="0.3">
      <c r="A307" s="32"/>
      <c r="B307" s="33"/>
      <c r="C307" s="33"/>
      <c r="D307" s="33"/>
      <c r="E307" s="33"/>
      <c r="F307" s="33"/>
      <c r="G307" s="33"/>
      <c r="H307" s="33"/>
      <c r="I307" s="33"/>
      <c r="J307" s="33"/>
      <c r="K307" s="33"/>
      <c r="L307" s="34"/>
      <c r="M307" s="34"/>
      <c r="N307" s="33"/>
      <c r="O307" s="32"/>
      <c r="P307" s="33"/>
      <c r="Q307" s="33"/>
      <c r="R307" s="35"/>
    </row>
    <row r="308" spans="1:18" x14ac:dyDescent="0.3">
      <c r="A308" s="28"/>
      <c r="B308" s="29"/>
      <c r="C308" s="29"/>
      <c r="D308" s="29"/>
      <c r="E308" s="29"/>
      <c r="F308" s="29"/>
      <c r="G308" s="29"/>
      <c r="H308" s="29"/>
      <c r="I308" s="29"/>
      <c r="J308" s="29"/>
      <c r="K308" s="29"/>
      <c r="L308" s="30"/>
      <c r="M308" s="30"/>
      <c r="N308" s="29"/>
      <c r="O308" s="28"/>
      <c r="P308" s="29"/>
      <c r="Q308" s="29"/>
      <c r="R308" s="31"/>
    </row>
    <row r="309" spans="1:18" x14ac:dyDescent="0.3">
      <c r="A309" s="32"/>
      <c r="B309" s="33"/>
      <c r="C309" s="33"/>
      <c r="D309" s="33"/>
      <c r="E309" s="33"/>
      <c r="F309" s="33"/>
      <c r="G309" s="33"/>
      <c r="H309" s="33"/>
      <c r="I309" s="33"/>
      <c r="J309" s="33"/>
      <c r="K309" s="33"/>
      <c r="L309" s="34"/>
      <c r="M309" s="34"/>
      <c r="N309" s="33"/>
      <c r="O309" s="32"/>
      <c r="P309" s="33"/>
      <c r="Q309" s="33"/>
      <c r="R309" s="35"/>
    </row>
    <row r="310" spans="1:18" x14ac:dyDescent="0.3">
      <c r="A310" s="28"/>
      <c r="B310" s="29"/>
      <c r="C310" s="29"/>
      <c r="D310" s="29"/>
      <c r="E310" s="29"/>
      <c r="F310" s="29"/>
      <c r="G310" s="29"/>
      <c r="H310" s="29"/>
      <c r="I310" s="29"/>
      <c r="J310" s="29"/>
      <c r="K310" s="29"/>
      <c r="L310" s="30"/>
      <c r="M310" s="30"/>
      <c r="N310" s="29"/>
      <c r="O310" s="28"/>
      <c r="P310" s="29"/>
      <c r="Q310" s="29"/>
      <c r="R310" s="31"/>
    </row>
    <row r="311" spans="1:18" x14ac:dyDescent="0.3">
      <c r="A311" s="32"/>
      <c r="B311" s="33"/>
      <c r="C311" s="33"/>
      <c r="D311" s="33"/>
      <c r="E311" s="33"/>
      <c r="F311" s="33"/>
      <c r="G311" s="33"/>
      <c r="H311" s="33"/>
      <c r="I311" s="33"/>
      <c r="J311" s="33"/>
      <c r="K311" s="33"/>
      <c r="L311" s="34"/>
      <c r="M311" s="34"/>
      <c r="N311" s="33"/>
      <c r="O311" s="32"/>
      <c r="P311" s="33"/>
      <c r="Q311" s="33"/>
      <c r="R311" s="35"/>
    </row>
    <row r="312" spans="1:18" x14ac:dyDescent="0.3">
      <c r="A312" s="28"/>
      <c r="B312" s="29"/>
      <c r="C312" s="29"/>
      <c r="D312" s="29"/>
      <c r="E312" s="29"/>
      <c r="F312" s="29"/>
      <c r="G312" s="29"/>
      <c r="H312" s="29"/>
      <c r="I312" s="29"/>
      <c r="J312" s="29"/>
      <c r="K312" s="29"/>
      <c r="L312" s="30"/>
      <c r="M312" s="30"/>
      <c r="N312" s="29"/>
      <c r="O312" s="28"/>
      <c r="P312" s="29"/>
      <c r="Q312" s="29"/>
      <c r="R312" s="31"/>
    </row>
    <row r="313" spans="1:18" x14ac:dyDescent="0.3">
      <c r="A313" s="32"/>
      <c r="B313" s="33"/>
      <c r="C313" s="33"/>
      <c r="D313" s="33"/>
      <c r="E313" s="33"/>
      <c r="F313" s="33"/>
      <c r="G313" s="33"/>
      <c r="H313" s="33"/>
      <c r="I313" s="33"/>
      <c r="J313" s="33"/>
      <c r="K313" s="33"/>
      <c r="L313" s="34"/>
      <c r="M313" s="34"/>
      <c r="N313" s="33"/>
      <c r="O313" s="32"/>
      <c r="P313" s="33"/>
      <c r="Q313" s="33"/>
      <c r="R313" s="35"/>
    </row>
    <row r="314" spans="1:18" x14ac:dyDescent="0.3">
      <c r="A314" s="28"/>
      <c r="B314" s="29"/>
      <c r="C314" s="29"/>
      <c r="D314" s="29"/>
      <c r="E314" s="29"/>
      <c r="F314" s="29"/>
      <c r="G314" s="29"/>
      <c r="H314" s="29"/>
      <c r="I314" s="29"/>
      <c r="J314" s="29"/>
      <c r="K314" s="29"/>
      <c r="L314" s="30"/>
      <c r="M314" s="30"/>
      <c r="N314" s="29"/>
      <c r="O314" s="28"/>
      <c r="P314" s="29"/>
      <c r="Q314" s="29"/>
      <c r="R314" s="31"/>
    </row>
    <row r="315" spans="1:18" x14ac:dyDescent="0.3">
      <c r="A315" s="32"/>
      <c r="B315" s="33"/>
      <c r="C315" s="33"/>
      <c r="D315" s="33"/>
      <c r="E315" s="33"/>
      <c r="F315" s="33"/>
      <c r="G315" s="33"/>
      <c r="H315" s="33"/>
      <c r="I315" s="33"/>
      <c r="J315" s="33"/>
      <c r="K315" s="33"/>
      <c r="L315" s="34"/>
      <c r="M315" s="34"/>
      <c r="N315" s="33"/>
      <c r="O315" s="32"/>
      <c r="P315" s="33"/>
      <c r="Q315" s="33"/>
      <c r="R315" s="35"/>
    </row>
    <row r="316" spans="1:18" x14ac:dyDescent="0.3">
      <c r="A316" s="28"/>
      <c r="B316" s="29"/>
      <c r="C316" s="29"/>
      <c r="D316" s="29"/>
      <c r="E316" s="29"/>
      <c r="F316" s="29"/>
      <c r="G316" s="29"/>
      <c r="H316" s="29"/>
      <c r="I316" s="29"/>
      <c r="J316" s="29"/>
      <c r="K316" s="29"/>
      <c r="L316" s="30"/>
      <c r="M316" s="30"/>
      <c r="N316" s="29"/>
      <c r="O316" s="28"/>
      <c r="P316" s="29"/>
      <c r="Q316" s="29"/>
      <c r="R316" s="31"/>
    </row>
    <row r="317" spans="1:18" x14ac:dyDescent="0.3">
      <c r="A317" s="32"/>
      <c r="B317" s="33"/>
      <c r="C317" s="33"/>
      <c r="D317" s="33"/>
      <c r="E317" s="33"/>
      <c r="F317" s="33"/>
      <c r="G317" s="33"/>
      <c r="H317" s="33"/>
      <c r="I317" s="33"/>
      <c r="J317" s="33"/>
      <c r="K317" s="33"/>
      <c r="L317" s="34"/>
      <c r="M317" s="34"/>
      <c r="N317" s="33"/>
      <c r="O317" s="32"/>
      <c r="P317" s="33"/>
      <c r="Q317" s="33"/>
      <c r="R317" s="35"/>
    </row>
    <row r="318" spans="1:18" x14ac:dyDescent="0.3">
      <c r="A318" s="28"/>
      <c r="B318" s="29"/>
      <c r="C318" s="29"/>
      <c r="D318" s="29"/>
      <c r="E318" s="29"/>
      <c r="F318" s="29"/>
      <c r="G318" s="29"/>
      <c r="H318" s="29"/>
      <c r="I318" s="29"/>
      <c r="J318" s="29"/>
      <c r="K318" s="29"/>
      <c r="L318" s="30"/>
      <c r="M318" s="30"/>
      <c r="N318" s="29"/>
      <c r="O318" s="28"/>
      <c r="P318" s="29"/>
      <c r="Q318" s="29"/>
      <c r="R318" s="31"/>
    </row>
    <row r="319" spans="1:18" x14ac:dyDescent="0.3">
      <c r="A319" s="32"/>
      <c r="B319" s="33"/>
      <c r="C319" s="33"/>
      <c r="D319" s="33"/>
      <c r="E319" s="33"/>
      <c r="F319" s="33"/>
      <c r="G319" s="33"/>
      <c r="H319" s="33"/>
      <c r="I319" s="33"/>
      <c r="J319" s="33"/>
      <c r="K319" s="33"/>
      <c r="L319" s="34"/>
      <c r="M319" s="34"/>
      <c r="N319" s="33"/>
      <c r="O319" s="32"/>
      <c r="P319" s="33"/>
      <c r="Q319" s="33"/>
      <c r="R319" s="35"/>
    </row>
    <row r="320" spans="1:18" x14ac:dyDescent="0.3">
      <c r="A320" s="28"/>
      <c r="B320" s="29"/>
      <c r="C320" s="29"/>
      <c r="D320" s="29"/>
      <c r="E320" s="29"/>
      <c r="F320" s="29"/>
      <c r="G320" s="29"/>
      <c r="H320" s="29"/>
      <c r="I320" s="29"/>
      <c r="J320" s="29"/>
      <c r="K320" s="29"/>
      <c r="L320" s="30"/>
      <c r="M320" s="30"/>
      <c r="N320" s="29"/>
      <c r="O320" s="28"/>
      <c r="P320" s="29"/>
      <c r="Q320" s="29"/>
      <c r="R320" s="31"/>
    </row>
    <row r="321" spans="1:18" x14ac:dyDescent="0.3">
      <c r="A321" s="32"/>
      <c r="B321" s="33"/>
      <c r="C321" s="33"/>
      <c r="D321" s="33"/>
      <c r="E321" s="33"/>
      <c r="F321" s="33"/>
      <c r="G321" s="33"/>
      <c r="H321" s="33"/>
      <c r="I321" s="33"/>
      <c r="J321" s="33"/>
      <c r="K321" s="33"/>
      <c r="L321" s="34"/>
      <c r="M321" s="34"/>
      <c r="N321" s="33"/>
      <c r="O321" s="32"/>
      <c r="P321" s="33"/>
      <c r="Q321" s="33"/>
      <c r="R321" s="35"/>
    </row>
    <row r="322" spans="1:18" x14ac:dyDescent="0.3">
      <c r="A322" s="28"/>
      <c r="B322" s="29"/>
      <c r="C322" s="29"/>
      <c r="D322" s="29"/>
      <c r="E322" s="29"/>
      <c r="F322" s="29"/>
      <c r="G322" s="29"/>
      <c r="H322" s="29"/>
      <c r="I322" s="29"/>
      <c r="J322" s="29"/>
      <c r="K322" s="29"/>
      <c r="L322" s="30"/>
      <c r="M322" s="30"/>
      <c r="N322" s="29"/>
      <c r="O322" s="28"/>
      <c r="P322" s="29"/>
      <c r="Q322" s="29"/>
      <c r="R322" s="31"/>
    </row>
    <row r="323" spans="1:18" x14ac:dyDescent="0.3">
      <c r="A323" s="32"/>
      <c r="B323" s="33"/>
      <c r="C323" s="33"/>
      <c r="D323" s="33"/>
      <c r="E323" s="33"/>
      <c r="F323" s="33"/>
      <c r="G323" s="33"/>
      <c r="H323" s="33"/>
      <c r="I323" s="33"/>
      <c r="J323" s="33"/>
      <c r="K323" s="33"/>
      <c r="L323" s="34"/>
      <c r="M323" s="34"/>
      <c r="N323" s="33"/>
      <c r="O323" s="32"/>
      <c r="P323" s="33"/>
      <c r="Q323" s="33"/>
      <c r="R323" s="35"/>
    </row>
    <row r="324" spans="1:18" x14ac:dyDescent="0.3">
      <c r="A324" s="28"/>
      <c r="B324" s="29"/>
      <c r="C324" s="29"/>
      <c r="D324" s="29"/>
      <c r="E324" s="29"/>
      <c r="F324" s="29"/>
      <c r="G324" s="29"/>
      <c r="H324" s="29"/>
      <c r="I324" s="29"/>
      <c r="J324" s="29"/>
      <c r="K324" s="29"/>
      <c r="L324" s="30"/>
      <c r="M324" s="30"/>
      <c r="N324" s="29"/>
      <c r="O324" s="28"/>
      <c r="P324" s="29"/>
      <c r="Q324" s="29"/>
      <c r="R324" s="31"/>
    </row>
    <row r="325" spans="1:18" x14ac:dyDescent="0.3">
      <c r="A325" s="32"/>
      <c r="B325" s="33"/>
      <c r="C325" s="33"/>
      <c r="D325" s="33"/>
      <c r="E325" s="33"/>
      <c r="F325" s="33"/>
      <c r="G325" s="33"/>
      <c r="H325" s="33"/>
      <c r="I325" s="33"/>
      <c r="J325" s="33"/>
      <c r="K325" s="33"/>
      <c r="L325" s="34"/>
      <c r="M325" s="34"/>
      <c r="N325" s="33"/>
      <c r="O325" s="32"/>
      <c r="P325" s="33"/>
      <c r="Q325" s="33"/>
      <c r="R325" s="35"/>
    </row>
    <row r="326" spans="1:18" x14ac:dyDescent="0.3">
      <c r="A326" s="28"/>
      <c r="B326" s="29"/>
      <c r="C326" s="29"/>
      <c r="D326" s="29"/>
      <c r="E326" s="29"/>
      <c r="F326" s="29"/>
      <c r="G326" s="29"/>
      <c r="H326" s="29"/>
      <c r="I326" s="29"/>
      <c r="J326" s="29"/>
      <c r="K326" s="29"/>
      <c r="L326" s="30"/>
      <c r="M326" s="30"/>
      <c r="N326" s="29"/>
      <c r="O326" s="28"/>
      <c r="P326" s="29"/>
      <c r="Q326" s="29"/>
      <c r="R326" s="31"/>
    </row>
    <row r="327" spans="1:18" x14ac:dyDescent="0.3">
      <c r="A327" s="32"/>
      <c r="B327" s="33"/>
      <c r="C327" s="33"/>
      <c r="D327" s="33"/>
      <c r="E327" s="33"/>
      <c r="F327" s="33"/>
      <c r="G327" s="33"/>
      <c r="H327" s="33"/>
      <c r="I327" s="33"/>
      <c r="J327" s="33"/>
      <c r="K327" s="33"/>
      <c r="L327" s="34"/>
      <c r="M327" s="34"/>
      <c r="N327" s="33"/>
      <c r="O327" s="32"/>
      <c r="P327" s="33"/>
      <c r="Q327" s="33"/>
      <c r="R327" s="35"/>
    </row>
    <row r="328" spans="1:18" x14ac:dyDescent="0.3">
      <c r="A328" s="28"/>
      <c r="B328" s="29"/>
      <c r="C328" s="29"/>
      <c r="D328" s="29"/>
      <c r="E328" s="29"/>
      <c r="F328" s="29"/>
      <c r="G328" s="29"/>
      <c r="H328" s="29"/>
      <c r="I328" s="29"/>
      <c r="J328" s="29"/>
      <c r="K328" s="29"/>
      <c r="L328" s="30"/>
      <c r="M328" s="30"/>
      <c r="N328" s="29"/>
      <c r="O328" s="28"/>
      <c r="P328" s="29"/>
      <c r="Q328" s="29"/>
      <c r="R328" s="31"/>
    </row>
    <row r="329" spans="1:18" x14ac:dyDescent="0.3">
      <c r="A329" s="32"/>
      <c r="B329" s="33"/>
      <c r="C329" s="33"/>
      <c r="D329" s="33"/>
      <c r="E329" s="33"/>
      <c r="F329" s="33"/>
      <c r="G329" s="33"/>
      <c r="H329" s="33"/>
      <c r="I329" s="33"/>
      <c r="J329" s="33"/>
      <c r="K329" s="33"/>
      <c r="L329" s="34"/>
      <c r="M329" s="34"/>
      <c r="N329" s="33"/>
      <c r="O329" s="32"/>
      <c r="P329" s="33"/>
      <c r="Q329" s="33"/>
      <c r="R329" s="35"/>
    </row>
    <row r="330" spans="1:18" x14ac:dyDescent="0.3">
      <c r="A330" s="28"/>
      <c r="B330" s="29"/>
      <c r="C330" s="29"/>
      <c r="D330" s="29"/>
      <c r="E330" s="29"/>
      <c r="F330" s="29"/>
      <c r="G330" s="29"/>
      <c r="H330" s="29"/>
      <c r="I330" s="29"/>
      <c r="J330" s="29"/>
      <c r="K330" s="29"/>
      <c r="L330" s="30"/>
      <c r="M330" s="30"/>
      <c r="N330" s="29"/>
      <c r="O330" s="28"/>
      <c r="P330" s="29"/>
      <c r="Q330" s="29"/>
      <c r="R330" s="31"/>
    </row>
    <row r="331" spans="1:18" x14ac:dyDescent="0.3">
      <c r="A331" s="32"/>
      <c r="B331" s="33"/>
      <c r="C331" s="33"/>
      <c r="D331" s="33"/>
      <c r="E331" s="33"/>
      <c r="F331" s="33"/>
      <c r="G331" s="33"/>
      <c r="H331" s="33"/>
      <c r="I331" s="33"/>
      <c r="J331" s="33"/>
      <c r="K331" s="33"/>
      <c r="L331" s="34"/>
      <c r="M331" s="34"/>
      <c r="N331" s="33"/>
      <c r="O331" s="32"/>
      <c r="P331" s="33"/>
      <c r="Q331" s="33"/>
      <c r="R331" s="35"/>
    </row>
    <row r="332" spans="1:18" x14ac:dyDescent="0.3">
      <c r="A332" s="28"/>
      <c r="B332" s="29"/>
      <c r="C332" s="29"/>
      <c r="D332" s="29"/>
      <c r="E332" s="29"/>
      <c r="F332" s="29"/>
      <c r="G332" s="29"/>
      <c r="H332" s="29"/>
      <c r="I332" s="29"/>
      <c r="J332" s="29"/>
      <c r="K332" s="29"/>
      <c r="L332" s="30"/>
      <c r="M332" s="30"/>
      <c r="N332" s="29"/>
      <c r="O332" s="28"/>
      <c r="P332" s="29"/>
      <c r="Q332" s="29"/>
      <c r="R332" s="31"/>
    </row>
    <row r="333" spans="1:18" x14ac:dyDescent="0.3">
      <c r="A333" s="32"/>
      <c r="B333" s="33"/>
      <c r="C333" s="33"/>
      <c r="D333" s="33"/>
      <c r="E333" s="33"/>
      <c r="F333" s="33"/>
      <c r="G333" s="33"/>
      <c r="H333" s="33"/>
      <c r="I333" s="33"/>
      <c r="J333" s="33"/>
      <c r="K333" s="33"/>
      <c r="L333" s="34"/>
      <c r="M333" s="34"/>
      <c r="N333" s="33"/>
      <c r="O333" s="32"/>
      <c r="P333" s="33"/>
      <c r="Q333" s="33"/>
      <c r="R333" s="35"/>
    </row>
    <row r="334" spans="1:18" x14ac:dyDescent="0.3">
      <c r="A334" s="28"/>
      <c r="B334" s="29"/>
      <c r="C334" s="29"/>
      <c r="D334" s="29"/>
      <c r="E334" s="29"/>
      <c r="F334" s="29"/>
      <c r="G334" s="29"/>
      <c r="H334" s="29"/>
      <c r="I334" s="29"/>
      <c r="J334" s="29"/>
      <c r="K334" s="29"/>
      <c r="L334" s="30"/>
      <c r="M334" s="30"/>
      <c r="N334" s="29"/>
      <c r="O334" s="28"/>
      <c r="P334" s="29"/>
      <c r="Q334" s="29"/>
      <c r="R334" s="31"/>
    </row>
    <row r="335" spans="1:18" x14ac:dyDescent="0.3">
      <c r="A335" s="32"/>
      <c r="B335" s="33"/>
      <c r="C335" s="33"/>
      <c r="D335" s="33"/>
      <c r="E335" s="33"/>
      <c r="F335" s="33"/>
      <c r="G335" s="33"/>
      <c r="H335" s="33"/>
      <c r="I335" s="33"/>
      <c r="J335" s="33"/>
      <c r="K335" s="33"/>
      <c r="L335" s="34"/>
      <c r="M335" s="34"/>
      <c r="N335" s="33"/>
      <c r="O335" s="32"/>
      <c r="P335" s="33"/>
      <c r="Q335" s="33"/>
      <c r="R335" s="35"/>
    </row>
    <row r="336" spans="1:18" x14ac:dyDescent="0.3">
      <c r="A336" s="28"/>
      <c r="B336" s="29"/>
      <c r="C336" s="29"/>
      <c r="D336" s="29"/>
      <c r="E336" s="29"/>
      <c r="F336" s="29"/>
      <c r="G336" s="29"/>
      <c r="H336" s="29"/>
      <c r="I336" s="29"/>
      <c r="J336" s="29"/>
      <c r="K336" s="29"/>
      <c r="L336" s="30"/>
      <c r="M336" s="30"/>
      <c r="N336" s="29"/>
      <c r="O336" s="28"/>
      <c r="P336" s="29"/>
      <c r="Q336" s="29"/>
      <c r="R336" s="31"/>
    </row>
    <row r="337" spans="1:18" x14ac:dyDescent="0.3">
      <c r="A337" s="32"/>
      <c r="B337" s="33"/>
      <c r="C337" s="33"/>
      <c r="D337" s="33"/>
      <c r="E337" s="33"/>
      <c r="F337" s="33"/>
      <c r="G337" s="33"/>
      <c r="H337" s="33"/>
      <c r="I337" s="33"/>
      <c r="J337" s="33"/>
      <c r="K337" s="33"/>
      <c r="L337" s="34"/>
      <c r="M337" s="34"/>
      <c r="N337" s="33"/>
      <c r="O337" s="32"/>
      <c r="P337" s="33"/>
      <c r="Q337" s="33"/>
      <c r="R337" s="35"/>
    </row>
    <row r="338" spans="1:18" x14ac:dyDescent="0.3">
      <c r="A338" s="28"/>
      <c r="B338" s="29"/>
      <c r="C338" s="29"/>
      <c r="D338" s="29"/>
      <c r="E338" s="29"/>
      <c r="F338" s="29"/>
      <c r="G338" s="29"/>
      <c r="H338" s="29"/>
      <c r="I338" s="29"/>
      <c r="J338" s="29"/>
      <c r="K338" s="29"/>
      <c r="L338" s="30"/>
      <c r="M338" s="30"/>
      <c r="N338" s="29"/>
      <c r="O338" s="28"/>
      <c r="P338" s="29"/>
      <c r="Q338" s="29"/>
      <c r="R338" s="31"/>
    </row>
    <row r="339" spans="1:18" x14ac:dyDescent="0.3">
      <c r="A339" s="32"/>
      <c r="B339" s="33"/>
      <c r="C339" s="33"/>
      <c r="D339" s="33"/>
      <c r="E339" s="33"/>
      <c r="F339" s="33"/>
      <c r="G339" s="33"/>
      <c r="H339" s="33"/>
      <c r="I339" s="33"/>
      <c r="J339" s="33"/>
      <c r="K339" s="33"/>
      <c r="L339" s="34"/>
      <c r="M339" s="34"/>
      <c r="N339" s="33"/>
      <c r="O339" s="32"/>
      <c r="P339" s="33"/>
      <c r="Q339" s="33"/>
      <c r="R339" s="35"/>
    </row>
    <row r="340" spans="1:18" x14ac:dyDescent="0.3">
      <c r="A340" s="28"/>
      <c r="B340" s="29"/>
      <c r="C340" s="29"/>
      <c r="D340" s="29"/>
      <c r="E340" s="29"/>
      <c r="F340" s="29"/>
      <c r="G340" s="29"/>
      <c r="H340" s="29"/>
      <c r="I340" s="29"/>
      <c r="J340" s="29"/>
      <c r="K340" s="29"/>
      <c r="L340" s="30"/>
      <c r="M340" s="30"/>
      <c r="N340" s="29"/>
      <c r="O340" s="28"/>
      <c r="P340" s="29"/>
      <c r="Q340" s="29"/>
      <c r="R340" s="31"/>
    </row>
    <row r="341" spans="1:18" x14ac:dyDescent="0.3">
      <c r="A341" s="32"/>
      <c r="B341" s="33"/>
      <c r="C341" s="33"/>
      <c r="D341" s="33"/>
      <c r="E341" s="33"/>
      <c r="F341" s="33"/>
      <c r="G341" s="33"/>
      <c r="H341" s="33"/>
      <c r="I341" s="33"/>
      <c r="J341" s="33"/>
      <c r="K341" s="33"/>
      <c r="L341" s="34"/>
      <c r="M341" s="34"/>
      <c r="N341" s="33"/>
      <c r="O341" s="32"/>
      <c r="P341" s="33"/>
      <c r="Q341" s="33"/>
      <c r="R341" s="35"/>
    </row>
    <row r="342" spans="1:18" x14ac:dyDescent="0.3">
      <c r="A342" s="28"/>
      <c r="B342" s="29"/>
      <c r="C342" s="29"/>
      <c r="D342" s="29"/>
      <c r="E342" s="29"/>
      <c r="F342" s="29"/>
      <c r="G342" s="29"/>
      <c r="H342" s="29"/>
      <c r="I342" s="29"/>
      <c r="J342" s="29"/>
      <c r="K342" s="29"/>
      <c r="L342" s="30"/>
      <c r="M342" s="30"/>
      <c r="N342" s="29"/>
      <c r="O342" s="28"/>
      <c r="P342" s="29"/>
      <c r="Q342" s="29"/>
      <c r="R342" s="31"/>
    </row>
    <row r="343" spans="1:18" x14ac:dyDescent="0.3">
      <c r="A343" s="32"/>
      <c r="B343" s="33"/>
      <c r="C343" s="33"/>
      <c r="D343" s="33"/>
      <c r="E343" s="33"/>
      <c r="F343" s="33"/>
      <c r="G343" s="33"/>
      <c r="H343" s="33"/>
      <c r="I343" s="33"/>
      <c r="J343" s="33"/>
      <c r="K343" s="33"/>
      <c r="L343" s="34"/>
      <c r="M343" s="34"/>
      <c r="N343" s="33"/>
      <c r="O343" s="32"/>
      <c r="P343" s="33"/>
      <c r="Q343" s="33"/>
      <c r="R343" s="35"/>
    </row>
    <row r="344" spans="1:18" x14ac:dyDescent="0.3">
      <c r="A344" s="28"/>
      <c r="B344" s="29"/>
      <c r="C344" s="29"/>
      <c r="D344" s="29"/>
      <c r="E344" s="29"/>
      <c r="F344" s="29"/>
      <c r="G344" s="29"/>
      <c r="H344" s="29"/>
      <c r="I344" s="29"/>
      <c r="J344" s="29"/>
      <c r="K344" s="29"/>
      <c r="L344" s="30"/>
      <c r="M344" s="30"/>
      <c r="N344" s="29"/>
      <c r="O344" s="28"/>
      <c r="P344" s="29"/>
      <c r="Q344" s="29"/>
      <c r="R344" s="31"/>
    </row>
    <row r="345" spans="1:18" x14ac:dyDescent="0.3">
      <c r="A345" s="32"/>
      <c r="B345" s="33"/>
      <c r="C345" s="33"/>
      <c r="D345" s="33"/>
      <c r="E345" s="33"/>
      <c r="F345" s="33"/>
      <c r="G345" s="33"/>
      <c r="H345" s="33"/>
      <c r="I345" s="33"/>
      <c r="J345" s="33"/>
      <c r="K345" s="33"/>
      <c r="L345" s="34"/>
      <c r="M345" s="34"/>
      <c r="N345" s="33"/>
      <c r="O345" s="32"/>
      <c r="P345" s="33"/>
      <c r="Q345" s="33"/>
      <c r="R345" s="35"/>
    </row>
    <row r="346" spans="1:18" x14ac:dyDescent="0.3">
      <c r="A346" s="28"/>
      <c r="B346" s="29"/>
      <c r="C346" s="29"/>
      <c r="D346" s="29"/>
      <c r="E346" s="29"/>
      <c r="F346" s="29"/>
      <c r="G346" s="29"/>
      <c r="H346" s="29"/>
      <c r="I346" s="29"/>
      <c r="J346" s="29"/>
      <c r="K346" s="29"/>
      <c r="L346" s="30"/>
      <c r="M346" s="30"/>
      <c r="N346" s="29"/>
      <c r="O346" s="28"/>
      <c r="P346" s="29"/>
      <c r="Q346" s="29"/>
      <c r="R346" s="31"/>
    </row>
    <row r="347" spans="1:18" x14ac:dyDescent="0.3">
      <c r="A347" s="32"/>
      <c r="B347" s="33"/>
      <c r="C347" s="33"/>
      <c r="D347" s="33"/>
      <c r="E347" s="33"/>
      <c r="F347" s="33"/>
      <c r="G347" s="33"/>
      <c r="H347" s="33"/>
      <c r="I347" s="33"/>
      <c r="J347" s="33"/>
      <c r="K347" s="33"/>
      <c r="L347" s="34"/>
      <c r="M347" s="34"/>
      <c r="N347" s="33"/>
      <c r="O347" s="32"/>
      <c r="P347" s="33"/>
      <c r="Q347" s="33"/>
      <c r="R347" s="35"/>
    </row>
    <row r="348" spans="1:18" x14ac:dyDescent="0.3">
      <c r="A348" s="28"/>
      <c r="B348" s="29"/>
      <c r="C348" s="29"/>
      <c r="D348" s="29"/>
      <c r="E348" s="29"/>
      <c r="F348" s="29"/>
      <c r="G348" s="29"/>
      <c r="H348" s="29"/>
      <c r="I348" s="29"/>
      <c r="J348" s="29"/>
      <c r="K348" s="29"/>
      <c r="L348" s="30"/>
      <c r="M348" s="30"/>
      <c r="N348" s="29"/>
      <c r="O348" s="28"/>
      <c r="P348" s="29"/>
      <c r="Q348" s="29"/>
      <c r="R348" s="31"/>
    </row>
    <row r="349" spans="1:18" x14ac:dyDescent="0.3">
      <c r="A349" s="32"/>
      <c r="B349" s="33"/>
      <c r="C349" s="33"/>
      <c r="D349" s="33"/>
      <c r="E349" s="33"/>
      <c r="F349" s="33"/>
      <c r="G349" s="33"/>
      <c r="H349" s="33"/>
      <c r="I349" s="33"/>
      <c r="J349" s="33"/>
      <c r="K349" s="33"/>
      <c r="L349" s="34"/>
      <c r="M349" s="34"/>
      <c r="N349" s="33"/>
      <c r="O349" s="32"/>
      <c r="P349" s="33"/>
      <c r="Q349" s="33"/>
      <c r="R349" s="35"/>
    </row>
    <row r="350" spans="1:18" x14ac:dyDescent="0.3">
      <c r="A350" s="28"/>
      <c r="B350" s="29"/>
      <c r="C350" s="29"/>
      <c r="D350" s="29"/>
      <c r="E350" s="29"/>
      <c r="F350" s="29"/>
      <c r="G350" s="29"/>
      <c r="H350" s="29"/>
      <c r="I350" s="29"/>
      <c r="J350" s="29"/>
      <c r="K350" s="29"/>
      <c r="L350" s="30"/>
      <c r="M350" s="30"/>
      <c r="N350" s="29"/>
      <c r="O350" s="28"/>
      <c r="P350" s="29"/>
      <c r="Q350" s="29"/>
      <c r="R350" s="31"/>
    </row>
    <row r="351" spans="1:18" x14ac:dyDescent="0.3">
      <c r="A351" s="32"/>
      <c r="B351" s="33"/>
      <c r="C351" s="33"/>
      <c r="D351" s="33"/>
      <c r="E351" s="33"/>
      <c r="F351" s="33"/>
      <c r="G351" s="33"/>
      <c r="H351" s="33"/>
      <c r="I351" s="33"/>
      <c r="J351" s="33"/>
      <c r="K351" s="33"/>
      <c r="L351" s="34"/>
      <c r="M351" s="34"/>
      <c r="N351" s="33"/>
      <c r="O351" s="32"/>
      <c r="P351" s="33"/>
      <c r="Q351" s="33"/>
      <c r="R351" s="35"/>
    </row>
    <row r="352" spans="1:18" x14ac:dyDescent="0.3">
      <c r="A352" s="28"/>
      <c r="B352" s="29"/>
      <c r="C352" s="29"/>
      <c r="D352" s="29"/>
      <c r="E352" s="29"/>
      <c r="F352" s="29"/>
      <c r="G352" s="29"/>
      <c r="H352" s="29"/>
      <c r="I352" s="29"/>
      <c r="J352" s="29"/>
      <c r="K352" s="29"/>
      <c r="L352" s="30"/>
      <c r="M352" s="30"/>
      <c r="N352" s="29"/>
      <c r="O352" s="28"/>
      <c r="P352" s="29"/>
      <c r="Q352" s="29"/>
      <c r="R352" s="31"/>
    </row>
    <row r="353" spans="1:18" x14ac:dyDescent="0.3">
      <c r="A353" s="32"/>
      <c r="B353" s="33"/>
      <c r="C353" s="33"/>
      <c r="D353" s="33"/>
      <c r="E353" s="33"/>
      <c r="F353" s="33"/>
      <c r="G353" s="33"/>
      <c r="H353" s="33"/>
      <c r="I353" s="33"/>
      <c r="J353" s="33"/>
      <c r="K353" s="33"/>
      <c r="L353" s="34"/>
      <c r="M353" s="34"/>
      <c r="N353" s="33"/>
      <c r="O353" s="32"/>
      <c r="P353" s="33"/>
      <c r="Q353" s="33"/>
      <c r="R353" s="35"/>
    </row>
    <row r="354" spans="1:18" x14ac:dyDescent="0.3">
      <c r="A354" s="28"/>
      <c r="B354" s="29"/>
      <c r="C354" s="29"/>
      <c r="D354" s="29"/>
      <c r="E354" s="29"/>
      <c r="F354" s="29"/>
      <c r="G354" s="29"/>
      <c r="H354" s="29"/>
      <c r="I354" s="29"/>
      <c r="J354" s="29"/>
      <c r="K354" s="29"/>
      <c r="L354" s="30"/>
      <c r="M354" s="30"/>
      <c r="N354" s="29"/>
      <c r="O354" s="28"/>
      <c r="P354" s="29"/>
      <c r="Q354" s="29"/>
      <c r="R354" s="31"/>
    </row>
    <row r="355" spans="1:18" x14ac:dyDescent="0.3">
      <c r="A355" s="32"/>
      <c r="B355" s="33"/>
      <c r="C355" s="33"/>
      <c r="D355" s="33"/>
      <c r="E355" s="33"/>
      <c r="F355" s="33"/>
      <c r="G355" s="33"/>
      <c r="H355" s="33"/>
      <c r="I355" s="33"/>
      <c r="J355" s="33"/>
      <c r="K355" s="33"/>
      <c r="L355" s="34"/>
      <c r="M355" s="34"/>
      <c r="N355" s="33"/>
      <c r="O355" s="32"/>
      <c r="P355" s="33"/>
      <c r="Q355" s="33"/>
      <c r="R355" s="35"/>
    </row>
    <row r="356" spans="1:18" x14ac:dyDescent="0.3">
      <c r="A356" s="28"/>
      <c r="B356" s="29"/>
      <c r="C356" s="29"/>
      <c r="D356" s="29"/>
      <c r="E356" s="29"/>
      <c r="F356" s="29"/>
      <c r="G356" s="29"/>
      <c r="H356" s="29"/>
      <c r="I356" s="29"/>
      <c r="J356" s="29"/>
      <c r="K356" s="29"/>
      <c r="L356" s="30"/>
      <c r="M356" s="30"/>
      <c r="N356" s="29"/>
      <c r="O356" s="28"/>
      <c r="P356" s="29"/>
      <c r="Q356" s="29"/>
      <c r="R356" s="31"/>
    </row>
    <row r="357" spans="1:18" x14ac:dyDescent="0.3">
      <c r="A357" s="32"/>
      <c r="B357" s="33"/>
      <c r="C357" s="33"/>
      <c r="D357" s="33"/>
      <c r="E357" s="33"/>
      <c r="F357" s="33"/>
      <c r="G357" s="33"/>
      <c r="H357" s="33"/>
      <c r="I357" s="33"/>
      <c r="J357" s="33"/>
      <c r="K357" s="33"/>
      <c r="L357" s="34"/>
      <c r="M357" s="34"/>
      <c r="N357" s="33"/>
      <c r="O357" s="32"/>
      <c r="P357" s="33"/>
      <c r="Q357" s="33"/>
      <c r="R357" s="35"/>
    </row>
    <row r="358" spans="1:18" x14ac:dyDescent="0.3">
      <c r="A358" s="28"/>
      <c r="B358" s="29"/>
      <c r="C358" s="29"/>
      <c r="D358" s="29"/>
      <c r="E358" s="29"/>
      <c r="F358" s="29"/>
      <c r="G358" s="29"/>
      <c r="H358" s="29"/>
      <c r="I358" s="29"/>
      <c r="J358" s="29"/>
      <c r="K358" s="29"/>
      <c r="L358" s="30"/>
      <c r="M358" s="30"/>
      <c r="N358" s="29"/>
      <c r="O358" s="28"/>
      <c r="P358" s="29"/>
      <c r="Q358" s="29"/>
      <c r="R358" s="31"/>
    </row>
    <row r="359" spans="1:18" x14ac:dyDescent="0.3">
      <c r="A359" s="32"/>
      <c r="B359" s="33"/>
      <c r="C359" s="33"/>
      <c r="D359" s="33"/>
      <c r="E359" s="33"/>
      <c r="F359" s="33"/>
      <c r="G359" s="33"/>
      <c r="H359" s="33"/>
      <c r="I359" s="33"/>
      <c r="J359" s="33"/>
      <c r="K359" s="33"/>
      <c r="L359" s="34"/>
      <c r="M359" s="34"/>
      <c r="N359" s="33"/>
      <c r="O359" s="32"/>
      <c r="P359" s="33"/>
      <c r="Q359" s="33"/>
      <c r="R359" s="35"/>
    </row>
    <row r="360" spans="1:18" x14ac:dyDescent="0.3">
      <c r="A360" s="28"/>
      <c r="B360" s="29"/>
      <c r="C360" s="29"/>
      <c r="D360" s="29"/>
      <c r="E360" s="29"/>
      <c r="F360" s="29"/>
      <c r="G360" s="29"/>
      <c r="H360" s="29"/>
      <c r="I360" s="29"/>
      <c r="J360" s="29"/>
      <c r="K360" s="29"/>
      <c r="L360" s="30"/>
      <c r="M360" s="30"/>
      <c r="N360" s="29"/>
      <c r="O360" s="28"/>
      <c r="P360" s="29"/>
      <c r="Q360" s="29"/>
      <c r="R360" s="31"/>
    </row>
    <row r="361" spans="1:18" x14ac:dyDescent="0.3">
      <c r="A361" s="32"/>
      <c r="B361" s="33"/>
      <c r="C361" s="33"/>
      <c r="D361" s="33"/>
      <c r="E361" s="33"/>
      <c r="F361" s="33"/>
      <c r="G361" s="33"/>
      <c r="H361" s="33"/>
      <c r="I361" s="33"/>
      <c r="J361" s="33"/>
      <c r="K361" s="33"/>
      <c r="L361" s="34"/>
      <c r="M361" s="34"/>
      <c r="N361" s="33"/>
      <c r="O361" s="32"/>
      <c r="P361" s="33"/>
      <c r="Q361" s="33"/>
      <c r="R361" s="35"/>
    </row>
    <row r="362" spans="1:18" x14ac:dyDescent="0.3">
      <c r="A362" s="28"/>
      <c r="B362" s="29"/>
      <c r="C362" s="29"/>
      <c r="D362" s="29"/>
      <c r="E362" s="29"/>
      <c r="F362" s="29"/>
      <c r="G362" s="29"/>
      <c r="H362" s="29"/>
      <c r="I362" s="29"/>
      <c r="J362" s="29"/>
      <c r="K362" s="29"/>
      <c r="L362" s="30"/>
      <c r="M362" s="30"/>
      <c r="N362" s="29"/>
      <c r="O362" s="28"/>
      <c r="P362" s="29"/>
      <c r="Q362" s="29"/>
      <c r="R362" s="31"/>
    </row>
    <row r="363" spans="1:18" x14ac:dyDescent="0.3">
      <c r="A363" s="32"/>
      <c r="B363" s="33"/>
      <c r="C363" s="33"/>
      <c r="D363" s="33"/>
      <c r="E363" s="33"/>
      <c r="F363" s="33"/>
      <c r="G363" s="33"/>
      <c r="H363" s="33"/>
      <c r="I363" s="33"/>
      <c r="J363" s="33"/>
      <c r="K363" s="33"/>
      <c r="L363" s="34"/>
      <c r="M363" s="34"/>
      <c r="N363" s="33"/>
      <c r="O363" s="32"/>
      <c r="P363" s="33"/>
      <c r="Q363" s="33"/>
      <c r="R363" s="35"/>
    </row>
    <row r="364" spans="1:18" x14ac:dyDescent="0.3">
      <c r="A364" s="28"/>
      <c r="B364" s="29"/>
      <c r="C364" s="29"/>
      <c r="D364" s="29"/>
      <c r="E364" s="29"/>
      <c r="F364" s="29"/>
      <c r="G364" s="29"/>
      <c r="H364" s="29"/>
      <c r="I364" s="29"/>
      <c r="J364" s="29"/>
      <c r="K364" s="29"/>
      <c r="L364" s="30"/>
      <c r="M364" s="30"/>
      <c r="N364" s="29"/>
      <c r="O364" s="28"/>
      <c r="P364" s="29"/>
      <c r="Q364" s="29"/>
      <c r="R364" s="31"/>
    </row>
    <row r="365" spans="1:18" x14ac:dyDescent="0.3">
      <c r="A365" s="32"/>
      <c r="B365" s="33"/>
      <c r="C365" s="33"/>
      <c r="D365" s="33"/>
      <c r="E365" s="33"/>
      <c r="F365" s="33"/>
      <c r="G365" s="33"/>
      <c r="H365" s="33"/>
      <c r="I365" s="33"/>
      <c r="J365" s="33"/>
      <c r="K365" s="33"/>
      <c r="L365" s="34"/>
      <c r="M365" s="34"/>
      <c r="N365" s="33"/>
      <c r="O365" s="32"/>
      <c r="P365" s="33"/>
      <c r="Q365" s="33"/>
      <c r="R365" s="35"/>
    </row>
    <row r="366" spans="1:18" x14ac:dyDescent="0.3">
      <c r="A366" s="28"/>
      <c r="B366" s="29"/>
      <c r="C366" s="29"/>
      <c r="D366" s="29"/>
      <c r="E366" s="29"/>
      <c r="F366" s="29"/>
      <c r="G366" s="29"/>
      <c r="H366" s="29"/>
      <c r="I366" s="29"/>
      <c r="J366" s="29"/>
      <c r="K366" s="29"/>
      <c r="L366" s="30"/>
      <c r="M366" s="30"/>
      <c r="N366" s="29"/>
      <c r="O366" s="28"/>
      <c r="P366" s="29"/>
      <c r="Q366" s="29"/>
      <c r="R366" s="31"/>
    </row>
    <row r="367" spans="1:18" x14ac:dyDescent="0.3">
      <c r="A367" s="32"/>
      <c r="B367" s="33"/>
      <c r="C367" s="33"/>
      <c r="D367" s="33"/>
      <c r="E367" s="33"/>
      <c r="F367" s="33"/>
      <c r="G367" s="33"/>
      <c r="H367" s="33"/>
      <c r="I367" s="33"/>
      <c r="J367" s="33"/>
      <c r="K367" s="33"/>
      <c r="L367" s="34"/>
      <c r="M367" s="34"/>
      <c r="N367" s="33"/>
      <c r="O367" s="32"/>
      <c r="P367" s="33"/>
      <c r="Q367" s="33"/>
      <c r="R367" s="35"/>
    </row>
    <row r="368" spans="1:18" x14ac:dyDescent="0.3">
      <c r="A368" s="28"/>
      <c r="B368" s="29"/>
      <c r="C368" s="29"/>
      <c r="D368" s="29"/>
      <c r="E368" s="29"/>
      <c r="F368" s="29"/>
      <c r="G368" s="29"/>
      <c r="H368" s="29"/>
      <c r="I368" s="29"/>
      <c r="J368" s="29"/>
      <c r="K368" s="29"/>
      <c r="L368" s="30"/>
      <c r="M368" s="30"/>
      <c r="N368" s="29"/>
      <c r="O368" s="28"/>
      <c r="P368" s="29"/>
      <c r="Q368" s="29"/>
      <c r="R368" s="31"/>
    </row>
    <row r="369" spans="1:18" x14ac:dyDescent="0.3">
      <c r="A369" s="32"/>
      <c r="B369" s="33"/>
      <c r="C369" s="33"/>
      <c r="D369" s="33"/>
      <c r="E369" s="33"/>
      <c r="F369" s="33"/>
      <c r="G369" s="33"/>
      <c r="H369" s="33"/>
      <c r="I369" s="33"/>
      <c r="J369" s="33"/>
      <c r="K369" s="33"/>
      <c r="L369" s="34"/>
      <c r="M369" s="34"/>
      <c r="N369" s="33"/>
      <c r="O369" s="32"/>
      <c r="P369" s="33"/>
      <c r="Q369" s="33"/>
      <c r="R369" s="35"/>
    </row>
    <row r="370" spans="1:18" x14ac:dyDescent="0.3">
      <c r="A370" s="28"/>
      <c r="B370" s="29"/>
      <c r="C370" s="29"/>
      <c r="D370" s="29"/>
      <c r="E370" s="29"/>
      <c r="F370" s="29"/>
      <c r="G370" s="29"/>
      <c r="H370" s="29"/>
      <c r="I370" s="29"/>
      <c r="J370" s="29"/>
      <c r="K370" s="29"/>
      <c r="L370" s="30"/>
      <c r="M370" s="30"/>
      <c r="N370" s="29"/>
      <c r="O370" s="28"/>
      <c r="P370" s="29"/>
      <c r="Q370" s="29"/>
      <c r="R370" s="31"/>
    </row>
    <row r="371" spans="1:18" x14ac:dyDescent="0.3">
      <c r="A371" s="32"/>
      <c r="B371" s="33"/>
      <c r="C371" s="33"/>
      <c r="D371" s="33"/>
      <c r="E371" s="33"/>
      <c r="F371" s="33"/>
      <c r="G371" s="33"/>
      <c r="H371" s="33"/>
      <c r="I371" s="33"/>
      <c r="J371" s="33"/>
      <c r="K371" s="33"/>
      <c r="L371" s="34"/>
      <c r="M371" s="34"/>
      <c r="N371" s="33"/>
      <c r="O371" s="32"/>
      <c r="P371" s="33"/>
      <c r="Q371" s="33"/>
      <c r="R371" s="35"/>
    </row>
    <row r="372" spans="1:18" x14ac:dyDescent="0.3">
      <c r="A372" s="28"/>
      <c r="B372" s="29"/>
      <c r="C372" s="29"/>
      <c r="D372" s="29"/>
      <c r="E372" s="29"/>
      <c r="F372" s="29"/>
      <c r="G372" s="29"/>
      <c r="H372" s="29"/>
      <c r="I372" s="29"/>
      <c r="J372" s="29"/>
      <c r="K372" s="29"/>
      <c r="L372" s="30"/>
      <c r="M372" s="30"/>
      <c r="N372" s="29"/>
      <c r="O372" s="28"/>
      <c r="P372" s="29"/>
      <c r="Q372" s="29"/>
      <c r="R372" s="31"/>
    </row>
    <row r="373" spans="1:18" x14ac:dyDescent="0.3">
      <c r="A373" s="32"/>
      <c r="B373" s="33"/>
      <c r="C373" s="33"/>
      <c r="D373" s="33"/>
      <c r="E373" s="33"/>
      <c r="F373" s="33"/>
      <c r="G373" s="33"/>
      <c r="H373" s="33"/>
      <c r="I373" s="33"/>
      <c r="J373" s="33"/>
      <c r="K373" s="33"/>
      <c r="L373" s="34"/>
      <c r="M373" s="34"/>
      <c r="N373" s="33"/>
      <c r="O373" s="32"/>
      <c r="P373" s="33"/>
      <c r="Q373" s="33"/>
      <c r="R373" s="35"/>
    </row>
    <row r="374" spans="1:18" x14ac:dyDescent="0.3">
      <c r="A374" s="28"/>
      <c r="B374" s="29"/>
      <c r="C374" s="29"/>
      <c r="D374" s="29"/>
      <c r="E374" s="29"/>
      <c r="F374" s="29"/>
      <c r="G374" s="29"/>
      <c r="H374" s="29"/>
      <c r="I374" s="29"/>
      <c r="J374" s="29"/>
      <c r="K374" s="29"/>
      <c r="L374" s="30"/>
      <c r="M374" s="30"/>
      <c r="N374" s="29"/>
      <c r="O374" s="28"/>
      <c r="P374" s="29"/>
      <c r="Q374" s="29"/>
      <c r="R374" s="31"/>
    </row>
    <row r="375" spans="1:18" x14ac:dyDescent="0.3">
      <c r="A375" s="32"/>
      <c r="B375" s="33"/>
      <c r="C375" s="33"/>
      <c r="D375" s="33"/>
      <c r="E375" s="33"/>
      <c r="F375" s="33"/>
      <c r="G375" s="33"/>
      <c r="H375" s="33"/>
      <c r="I375" s="33"/>
      <c r="J375" s="33"/>
      <c r="K375" s="33"/>
      <c r="L375" s="34"/>
      <c r="M375" s="34"/>
      <c r="N375" s="33"/>
      <c r="O375" s="32"/>
      <c r="P375" s="33"/>
      <c r="Q375" s="33"/>
      <c r="R375" s="35"/>
    </row>
    <row r="376" spans="1:18" x14ac:dyDescent="0.3">
      <c r="A376" s="28"/>
      <c r="B376" s="29"/>
      <c r="C376" s="29"/>
      <c r="D376" s="29"/>
      <c r="E376" s="29"/>
      <c r="F376" s="29"/>
      <c r="G376" s="29"/>
      <c r="H376" s="29"/>
      <c r="I376" s="29"/>
      <c r="J376" s="29"/>
      <c r="K376" s="29"/>
      <c r="L376" s="30"/>
      <c r="M376" s="30"/>
      <c r="N376" s="29"/>
      <c r="O376" s="28"/>
      <c r="P376" s="29"/>
      <c r="Q376" s="29"/>
      <c r="R376" s="31"/>
    </row>
    <row r="377" spans="1:18" x14ac:dyDescent="0.3">
      <c r="A377" s="32"/>
      <c r="B377" s="33"/>
      <c r="C377" s="33"/>
      <c r="D377" s="33"/>
      <c r="E377" s="33"/>
      <c r="F377" s="33"/>
      <c r="G377" s="33"/>
      <c r="H377" s="33"/>
      <c r="I377" s="33"/>
      <c r="J377" s="33"/>
      <c r="K377" s="33"/>
      <c r="L377" s="34"/>
      <c r="M377" s="34"/>
      <c r="N377" s="33"/>
      <c r="O377" s="32"/>
      <c r="P377" s="33"/>
      <c r="Q377" s="33"/>
      <c r="R377" s="35"/>
    </row>
    <row r="378" spans="1:18" x14ac:dyDescent="0.3">
      <c r="A378" s="28"/>
      <c r="B378" s="29"/>
      <c r="C378" s="29"/>
      <c r="D378" s="29"/>
      <c r="E378" s="29"/>
      <c r="F378" s="29"/>
      <c r="G378" s="29"/>
      <c r="H378" s="29"/>
      <c r="I378" s="29"/>
      <c r="J378" s="29"/>
      <c r="K378" s="29"/>
      <c r="L378" s="30"/>
      <c r="M378" s="30"/>
      <c r="N378" s="29"/>
      <c r="O378" s="28"/>
      <c r="P378" s="29"/>
      <c r="Q378" s="29"/>
      <c r="R378" s="31"/>
    </row>
    <row r="379" spans="1:18" x14ac:dyDescent="0.3">
      <c r="A379" s="32"/>
      <c r="B379" s="33"/>
      <c r="C379" s="33"/>
      <c r="D379" s="33"/>
      <c r="E379" s="33"/>
      <c r="F379" s="33"/>
      <c r="G379" s="33"/>
      <c r="H379" s="33"/>
      <c r="I379" s="33"/>
      <c r="J379" s="33"/>
      <c r="K379" s="33"/>
      <c r="L379" s="34"/>
      <c r="M379" s="34"/>
      <c r="N379" s="33"/>
      <c r="O379" s="32"/>
      <c r="P379" s="33"/>
      <c r="Q379" s="33"/>
      <c r="R379" s="35"/>
    </row>
    <row r="380" spans="1:18" x14ac:dyDescent="0.3">
      <c r="A380" s="28"/>
      <c r="B380" s="29"/>
      <c r="C380" s="29"/>
      <c r="D380" s="29"/>
      <c r="E380" s="29"/>
      <c r="F380" s="29"/>
      <c r="G380" s="29"/>
      <c r="H380" s="29"/>
      <c r="I380" s="29"/>
      <c r="J380" s="29"/>
      <c r="K380" s="29"/>
      <c r="L380" s="30"/>
      <c r="M380" s="30"/>
      <c r="N380" s="29"/>
      <c r="O380" s="28"/>
      <c r="P380" s="29"/>
      <c r="Q380" s="29"/>
      <c r="R380" s="31"/>
    </row>
    <row r="381" spans="1:18" x14ac:dyDescent="0.3">
      <c r="A381" s="32"/>
      <c r="B381" s="33"/>
      <c r="C381" s="33"/>
      <c r="D381" s="33"/>
      <c r="E381" s="33"/>
      <c r="F381" s="33"/>
      <c r="G381" s="33"/>
      <c r="H381" s="33"/>
      <c r="I381" s="33"/>
      <c r="J381" s="33"/>
      <c r="K381" s="33"/>
      <c r="L381" s="34"/>
      <c r="M381" s="34"/>
      <c r="N381" s="33"/>
      <c r="O381" s="32"/>
      <c r="P381" s="33"/>
      <c r="Q381" s="33"/>
      <c r="R381" s="35"/>
    </row>
    <row r="382" spans="1:18" x14ac:dyDescent="0.3">
      <c r="A382" s="28"/>
      <c r="B382" s="29"/>
      <c r="C382" s="29"/>
      <c r="D382" s="29"/>
      <c r="E382" s="29"/>
      <c r="F382" s="29"/>
      <c r="G382" s="29"/>
      <c r="H382" s="29"/>
      <c r="I382" s="29"/>
      <c r="J382" s="29"/>
      <c r="K382" s="29"/>
      <c r="L382" s="30"/>
      <c r="M382" s="30"/>
      <c r="N382" s="29"/>
      <c r="O382" s="28"/>
      <c r="P382" s="29"/>
      <c r="Q382" s="29"/>
      <c r="R382" s="31"/>
    </row>
    <row r="383" spans="1:18" x14ac:dyDescent="0.3">
      <c r="A383" s="32"/>
      <c r="B383" s="33"/>
      <c r="C383" s="33"/>
      <c r="D383" s="33"/>
      <c r="E383" s="33"/>
      <c r="F383" s="33"/>
      <c r="G383" s="33"/>
      <c r="H383" s="33"/>
      <c r="I383" s="33"/>
      <c r="J383" s="33"/>
      <c r="K383" s="33"/>
      <c r="L383" s="34"/>
      <c r="M383" s="34"/>
      <c r="N383" s="33"/>
      <c r="O383" s="32"/>
      <c r="P383" s="33"/>
      <c r="Q383" s="33"/>
      <c r="R383" s="35"/>
    </row>
    <row r="384" spans="1:18" x14ac:dyDescent="0.3">
      <c r="A384" s="28"/>
      <c r="B384" s="29"/>
      <c r="C384" s="29"/>
      <c r="D384" s="29"/>
      <c r="E384" s="29"/>
      <c r="F384" s="29"/>
      <c r="G384" s="29"/>
      <c r="H384" s="29"/>
      <c r="I384" s="29"/>
      <c r="J384" s="29"/>
      <c r="K384" s="29"/>
      <c r="L384" s="30"/>
      <c r="M384" s="30"/>
      <c r="N384" s="29"/>
      <c r="O384" s="28"/>
      <c r="P384" s="29"/>
      <c r="Q384" s="29"/>
      <c r="R384" s="31"/>
    </row>
    <row r="385" spans="1:18" x14ac:dyDescent="0.3">
      <c r="A385" s="32"/>
      <c r="B385" s="33"/>
      <c r="C385" s="33"/>
      <c r="D385" s="33"/>
      <c r="E385" s="33"/>
      <c r="F385" s="33"/>
      <c r="G385" s="33"/>
      <c r="H385" s="33"/>
      <c r="I385" s="33"/>
      <c r="J385" s="33"/>
      <c r="K385" s="33"/>
      <c r="L385" s="34"/>
      <c r="M385" s="34"/>
      <c r="N385" s="33"/>
      <c r="O385" s="32"/>
      <c r="P385" s="33"/>
      <c r="Q385" s="33"/>
      <c r="R385" s="35"/>
    </row>
    <row r="386" spans="1:18" x14ac:dyDescent="0.3">
      <c r="A386" s="28"/>
      <c r="B386" s="29"/>
      <c r="C386" s="29"/>
      <c r="D386" s="29"/>
      <c r="E386" s="29"/>
      <c r="F386" s="29"/>
      <c r="G386" s="29"/>
      <c r="H386" s="29"/>
      <c r="I386" s="29"/>
      <c r="J386" s="29"/>
      <c r="K386" s="29"/>
      <c r="L386" s="30"/>
      <c r="M386" s="30"/>
      <c r="N386" s="29"/>
      <c r="O386" s="28"/>
      <c r="P386" s="29"/>
      <c r="Q386" s="29"/>
      <c r="R386" s="31"/>
    </row>
    <row r="387" spans="1:18" x14ac:dyDescent="0.3">
      <c r="A387" s="32"/>
      <c r="B387" s="33"/>
      <c r="C387" s="33"/>
      <c r="D387" s="33"/>
      <c r="E387" s="33"/>
      <c r="F387" s="33"/>
      <c r="G387" s="33"/>
      <c r="H387" s="33"/>
      <c r="I387" s="33"/>
      <c r="J387" s="33"/>
      <c r="K387" s="33"/>
      <c r="L387" s="34"/>
      <c r="M387" s="34"/>
      <c r="N387" s="33"/>
      <c r="O387" s="32"/>
      <c r="P387" s="33"/>
      <c r="Q387" s="33"/>
      <c r="R387" s="35"/>
    </row>
    <row r="388" spans="1:18" x14ac:dyDescent="0.3">
      <c r="A388" s="28"/>
      <c r="B388" s="29"/>
      <c r="C388" s="29"/>
      <c r="D388" s="29"/>
      <c r="E388" s="29"/>
      <c r="F388" s="29"/>
      <c r="G388" s="29"/>
      <c r="H388" s="29"/>
      <c r="I388" s="29"/>
      <c r="J388" s="29"/>
      <c r="K388" s="29"/>
      <c r="L388" s="30"/>
      <c r="M388" s="30"/>
      <c r="N388" s="29"/>
      <c r="O388" s="28"/>
      <c r="P388" s="29"/>
      <c r="Q388" s="29"/>
      <c r="R388" s="31"/>
    </row>
    <row r="389" spans="1:18" x14ac:dyDescent="0.3">
      <c r="A389" s="32"/>
      <c r="B389" s="33"/>
      <c r="C389" s="33"/>
      <c r="D389" s="33"/>
      <c r="E389" s="33"/>
      <c r="F389" s="33"/>
      <c r="G389" s="33"/>
      <c r="H389" s="33"/>
      <c r="I389" s="33"/>
      <c r="J389" s="33"/>
      <c r="K389" s="33"/>
      <c r="L389" s="34"/>
      <c r="M389" s="34"/>
      <c r="N389" s="33"/>
      <c r="O389" s="32"/>
      <c r="P389" s="33"/>
      <c r="Q389" s="33"/>
      <c r="R389" s="35"/>
    </row>
    <row r="390" spans="1:18" x14ac:dyDescent="0.3">
      <c r="A390" s="28"/>
      <c r="B390" s="29"/>
      <c r="C390" s="29"/>
      <c r="D390" s="29"/>
      <c r="E390" s="29"/>
      <c r="F390" s="29"/>
      <c r="G390" s="29"/>
      <c r="H390" s="29"/>
      <c r="I390" s="29"/>
      <c r="J390" s="29"/>
      <c r="K390" s="29"/>
      <c r="L390" s="30"/>
      <c r="M390" s="30"/>
      <c r="N390" s="29"/>
      <c r="O390" s="28"/>
      <c r="P390" s="29"/>
      <c r="Q390" s="29"/>
      <c r="R390" s="31"/>
    </row>
    <row r="391" spans="1:18" x14ac:dyDescent="0.3">
      <c r="A391" s="32"/>
      <c r="B391" s="33"/>
      <c r="C391" s="33"/>
      <c r="D391" s="33"/>
      <c r="E391" s="33"/>
      <c r="F391" s="33"/>
      <c r="G391" s="33"/>
      <c r="H391" s="33"/>
      <c r="I391" s="33"/>
      <c r="J391" s="33"/>
      <c r="K391" s="33"/>
      <c r="L391" s="34"/>
      <c r="M391" s="34"/>
      <c r="N391" s="33"/>
      <c r="O391" s="32"/>
      <c r="P391" s="33"/>
      <c r="Q391" s="33"/>
      <c r="R391" s="35"/>
    </row>
    <row r="392" spans="1:18" x14ac:dyDescent="0.3">
      <c r="A392" s="28"/>
      <c r="B392" s="29"/>
      <c r="C392" s="29"/>
      <c r="D392" s="29"/>
      <c r="E392" s="29"/>
      <c r="F392" s="29"/>
      <c r="G392" s="29"/>
      <c r="H392" s="29"/>
      <c r="I392" s="29"/>
      <c r="J392" s="29"/>
      <c r="K392" s="29"/>
      <c r="L392" s="30"/>
      <c r="M392" s="30"/>
      <c r="N392" s="29"/>
      <c r="O392" s="28"/>
      <c r="P392" s="29"/>
      <c r="Q392" s="29"/>
      <c r="R392" s="31"/>
    </row>
    <row r="393" spans="1:18" x14ac:dyDescent="0.3">
      <c r="A393" s="32"/>
      <c r="B393" s="33"/>
      <c r="C393" s="33"/>
      <c r="D393" s="33"/>
      <c r="E393" s="33"/>
      <c r="F393" s="33"/>
      <c r="G393" s="33"/>
      <c r="H393" s="33"/>
      <c r="I393" s="33"/>
      <c r="J393" s="33"/>
      <c r="K393" s="33"/>
      <c r="L393" s="34"/>
      <c r="M393" s="34"/>
      <c r="N393" s="33"/>
      <c r="O393" s="32"/>
      <c r="P393" s="33"/>
      <c r="Q393" s="33"/>
      <c r="R393" s="35"/>
    </row>
    <row r="394" spans="1:18" x14ac:dyDescent="0.3">
      <c r="A394" s="28"/>
      <c r="B394" s="29"/>
      <c r="C394" s="29"/>
      <c r="D394" s="29"/>
      <c r="E394" s="29"/>
      <c r="F394" s="29"/>
      <c r="G394" s="29"/>
      <c r="H394" s="29"/>
      <c r="I394" s="29"/>
      <c r="J394" s="29"/>
      <c r="K394" s="29"/>
      <c r="L394" s="30"/>
      <c r="M394" s="30"/>
      <c r="N394" s="29"/>
      <c r="O394" s="28"/>
      <c r="P394" s="29"/>
      <c r="Q394" s="29"/>
      <c r="R394" s="31"/>
    </row>
    <row r="395" spans="1:18" x14ac:dyDescent="0.3">
      <c r="A395" s="32"/>
      <c r="B395" s="33"/>
      <c r="C395" s="33"/>
      <c r="D395" s="33"/>
      <c r="E395" s="33"/>
      <c r="F395" s="33"/>
      <c r="G395" s="33"/>
      <c r="H395" s="33"/>
      <c r="I395" s="33"/>
      <c r="J395" s="33"/>
      <c r="K395" s="33"/>
      <c r="L395" s="34"/>
      <c r="M395" s="34"/>
      <c r="N395" s="33"/>
      <c r="O395" s="32"/>
      <c r="P395" s="33"/>
      <c r="Q395" s="33"/>
      <c r="R395" s="35"/>
    </row>
    <row r="396" spans="1:18" x14ac:dyDescent="0.3">
      <c r="A396" s="28"/>
      <c r="B396" s="29"/>
      <c r="C396" s="29"/>
      <c r="D396" s="29"/>
      <c r="E396" s="29"/>
      <c r="F396" s="29"/>
      <c r="G396" s="29"/>
      <c r="H396" s="29"/>
      <c r="I396" s="29"/>
      <c r="J396" s="29"/>
      <c r="K396" s="29"/>
      <c r="L396" s="30"/>
      <c r="M396" s="30"/>
      <c r="N396" s="29"/>
      <c r="O396" s="28"/>
      <c r="P396" s="29"/>
      <c r="Q396" s="29"/>
      <c r="R396" s="31"/>
    </row>
    <row r="397" spans="1:18" x14ac:dyDescent="0.3">
      <c r="A397" s="32"/>
      <c r="B397" s="33"/>
      <c r="C397" s="33"/>
      <c r="D397" s="33"/>
      <c r="E397" s="33"/>
      <c r="F397" s="33"/>
      <c r="G397" s="33"/>
      <c r="H397" s="33"/>
      <c r="I397" s="33"/>
      <c r="J397" s="33"/>
      <c r="K397" s="33"/>
      <c r="L397" s="34"/>
      <c r="M397" s="34"/>
      <c r="N397" s="33"/>
      <c r="O397" s="32"/>
      <c r="P397" s="33"/>
      <c r="Q397" s="33"/>
      <c r="R397" s="35"/>
    </row>
    <row r="398" spans="1:18" x14ac:dyDescent="0.3">
      <c r="A398" s="28"/>
      <c r="B398" s="29"/>
      <c r="C398" s="29"/>
      <c r="D398" s="29"/>
      <c r="E398" s="29"/>
      <c r="F398" s="29"/>
      <c r="G398" s="29"/>
      <c r="H398" s="29"/>
      <c r="I398" s="29"/>
      <c r="J398" s="29"/>
      <c r="K398" s="29"/>
      <c r="L398" s="30"/>
      <c r="M398" s="30"/>
      <c r="N398" s="29"/>
      <c r="O398" s="28"/>
      <c r="P398" s="29"/>
      <c r="Q398" s="29"/>
      <c r="R398" s="31"/>
    </row>
    <row r="399" spans="1:18" x14ac:dyDescent="0.3">
      <c r="A399" s="32"/>
      <c r="B399" s="33"/>
      <c r="C399" s="33"/>
      <c r="D399" s="33"/>
      <c r="E399" s="33"/>
      <c r="F399" s="33"/>
      <c r="G399" s="33"/>
      <c r="H399" s="33"/>
      <c r="I399" s="33"/>
      <c r="J399" s="33"/>
      <c r="K399" s="33"/>
      <c r="L399" s="34"/>
      <c r="M399" s="34"/>
      <c r="N399" s="33"/>
      <c r="O399" s="32"/>
      <c r="P399" s="33"/>
      <c r="Q399" s="33"/>
      <c r="R399" s="35"/>
    </row>
    <row r="400" spans="1:18" x14ac:dyDescent="0.3">
      <c r="A400" s="28"/>
      <c r="B400" s="29"/>
      <c r="C400" s="29"/>
      <c r="D400" s="29"/>
      <c r="E400" s="29"/>
      <c r="F400" s="29"/>
      <c r="G400" s="29"/>
      <c r="H400" s="29"/>
      <c r="I400" s="29"/>
      <c r="J400" s="29"/>
      <c r="K400" s="29"/>
      <c r="L400" s="30"/>
      <c r="M400" s="30"/>
      <c r="N400" s="29"/>
      <c r="O400" s="28"/>
      <c r="P400" s="29"/>
      <c r="Q400" s="29"/>
      <c r="R400" s="31"/>
    </row>
    <row r="401" spans="1:18" x14ac:dyDescent="0.3">
      <c r="A401" s="32"/>
      <c r="B401" s="33"/>
      <c r="C401" s="33"/>
      <c r="D401" s="33"/>
      <c r="E401" s="33"/>
      <c r="F401" s="33"/>
      <c r="G401" s="33"/>
      <c r="H401" s="33"/>
      <c r="I401" s="33"/>
      <c r="J401" s="33"/>
      <c r="K401" s="33"/>
      <c r="L401" s="34"/>
      <c r="M401" s="34"/>
      <c r="N401" s="33"/>
      <c r="O401" s="32"/>
      <c r="P401" s="33"/>
      <c r="Q401" s="33"/>
      <c r="R401" s="35"/>
    </row>
    <row r="402" spans="1:18" x14ac:dyDescent="0.3">
      <c r="A402" s="28"/>
      <c r="B402" s="29"/>
      <c r="C402" s="29"/>
      <c r="D402" s="29"/>
      <c r="E402" s="29"/>
      <c r="F402" s="29"/>
      <c r="G402" s="29"/>
      <c r="H402" s="29"/>
      <c r="I402" s="29"/>
      <c r="J402" s="29"/>
      <c r="K402" s="29"/>
      <c r="L402" s="30"/>
      <c r="M402" s="30"/>
      <c r="N402" s="29"/>
      <c r="O402" s="28"/>
      <c r="P402" s="29"/>
      <c r="Q402" s="29"/>
      <c r="R402" s="31"/>
    </row>
    <row r="403" spans="1:18" x14ac:dyDescent="0.3">
      <c r="A403" s="32"/>
      <c r="B403" s="33"/>
      <c r="C403" s="33"/>
      <c r="D403" s="33"/>
      <c r="E403" s="33"/>
      <c r="F403" s="33"/>
      <c r="G403" s="33"/>
      <c r="H403" s="33"/>
      <c r="I403" s="33"/>
      <c r="J403" s="33"/>
      <c r="K403" s="33"/>
      <c r="L403" s="34"/>
      <c r="M403" s="34"/>
      <c r="N403" s="33"/>
      <c r="O403" s="32"/>
      <c r="P403" s="33"/>
      <c r="Q403" s="33"/>
      <c r="R403" s="35"/>
    </row>
    <row r="404" spans="1:18" x14ac:dyDescent="0.3">
      <c r="A404" s="28"/>
      <c r="B404" s="29"/>
      <c r="C404" s="29"/>
      <c r="D404" s="29"/>
      <c r="E404" s="29"/>
      <c r="F404" s="29"/>
      <c r="G404" s="29"/>
      <c r="H404" s="29"/>
      <c r="I404" s="29"/>
      <c r="J404" s="29"/>
      <c r="K404" s="29"/>
      <c r="L404" s="30"/>
      <c r="M404" s="30"/>
      <c r="N404" s="29"/>
      <c r="O404" s="28"/>
      <c r="P404" s="29"/>
      <c r="Q404" s="29"/>
      <c r="R404" s="31"/>
    </row>
    <row r="405" spans="1:18" x14ac:dyDescent="0.3">
      <c r="A405" s="32"/>
      <c r="B405" s="33"/>
      <c r="C405" s="33"/>
      <c r="D405" s="33"/>
      <c r="E405" s="33"/>
      <c r="F405" s="33"/>
      <c r="G405" s="33"/>
      <c r="H405" s="33"/>
      <c r="I405" s="33"/>
      <c r="J405" s="33"/>
      <c r="K405" s="33"/>
      <c r="L405" s="34"/>
      <c r="M405" s="34"/>
      <c r="N405" s="33"/>
      <c r="O405" s="32"/>
      <c r="P405" s="33"/>
      <c r="Q405" s="33"/>
      <c r="R405" s="35"/>
    </row>
    <row r="406" spans="1:18" x14ac:dyDescent="0.3">
      <c r="A406" s="28"/>
      <c r="B406" s="29"/>
      <c r="C406" s="29"/>
      <c r="D406" s="29"/>
      <c r="E406" s="29"/>
      <c r="F406" s="29"/>
      <c r="G406" s="29"/>
      <c r="H406" s="29"/>
      <c r="I406" s="29"/>
      <c r="J406" s="29"/>
      <c r="K406" s="29"/>
      <c r="L406" s="30"/>
      <c r="M406" s="30"/>
      <c r="N406" s="29"/>
      <c r="O406" s="28"/>
      <c r="P406" s="29"/>
      <c r="Q406" s="29"/>
      <c r="R406" s="31"/>
    </row>
    <row r="407" spans="1:18" x14ac:dyDescent="0.3">
      <c r="A407" s="32"/>
      <c r="B407" s="33"/>
      <c r="C407" s="33"/>
      <c r="D407" s="33"/>
      <c r="E407" s="33"/>
      <c r="F407" s="33"/>
      <c r="G407" s="33"/>
      <c r="H407" s="33"/>
      <c r="I407" s="33"/>
      <c r="J407" s="33"/>
      <c r="K407" s="33"/>
      <c r="L407" s="34"/>
      <c r="M407" s="34"/>
      <c r="N407" s="33"/>
      <c r="O407" s="32"/>
      <c r="P407" s="33"/>
      <c r="Q407" s="33"/>
      <c r="R407" s="35"/>
    </row>
    <row r="408" spans="1:18" x14ac:dyDescent="0.3">
      <c r="A408" s="28"/>
      <c r="B408" s="29"/>
      <c r="C408" s="29"/>
      <c r="D408" s="29"/>
      <c r="E408" s="29"/>
      <c r="F408" s="29"/>
      <c r="G408" s="29"/>
      <c r="H408" s="29"/>
      <c r="I408" s="29"/>
      <c r="J408" s="29"/>
      <c r="K408" s="29"/>
      <c r="L408" s="30"/>
      <c r="M408" s="30"/>
      <c r="N408" s="29"/>
      <c r="O408" s="28"/>
      <c r="P408" s="29"/>
      <c r="Q408" s="29"/>
      <c r="R408" s="31"/>
    </row>
    <row r="409" spans="1:18" x14ac:dyDescent="0.3">
      <c r="A409" s="32"/>
      <c r="B409" s="33"/>
      <c r="C409" s="33"/>
      <c r="D409" s="33"/>
      <c r="E409" s="33"/>
      <c r="F409" s="33"/>
      <c r="G409" s="33"/>
      <c r="H409" s="33"/>
      <c r="I409" s="33"/>
      <c r="J409" s="33"/>
      <c r="K409" s="33"/>
      <c r="L409" s="34"/>
      <c r="M409" s="34"/>
      <c r="N409" s="33"/>
      <c r="O409" s="32"/>
      <c r="P409" s="33"/>
      <c r="Q409" s="33"/>
      <c r="R409" s="35"/>
    </row>
    <row r="410" spans="1:18" x14ac:dyDescent="0.3">
      <c r="A410" s="28"/>
      <c r="B410" s="29"/>
      <c r="C410" s="29"/>
      <c r="D410" s="29"/>
      <c r="E410" s="29"/>
      <c r="F410" s="29"/>
      <c r="G410" s="29"/>
      <c r="H410" s="29"/>
      <c r="I410" s="29"/>
      <c r="J410" s="29"/>
      <c r="K410" s="29"/>
      <c r="L410" s="30"/>
      <c r="M410" s="30"/>
      <c r="N410" s="29"/>
      <c r="O410" s="28"/>
      <c r="P410" s="29"/>
      <c r="Q410" s="29"/>
      <c r="R410" s="31"/>
    </row>
    <row r="411" spans="1:18" x14ac:dyDescent="0.3">
      <c r="A411" s="32"/>
      <c r="B411" s="33"/>
      <c r="C411" s="33"/>
      <c r="D411" s="33"/>
      <c r="E411" s="33"/>
      <c r="F411" s="33"/>
      <c r="G411" s="33"/>
      <c r="H411" s="33"/>
      <c r="I411" s="33"/>
      <c r="J411" s="33"/>
      <c r="K411" s="33"/>
      <c r="L411" s="34"/>
      <c r="M411" s="34"/>
      <c r="N411" s="33"/>
      <c r="O411" s="32"/>
      <c r="P411" s="33"/>
      <c r="Q411" s="33"/>
      <c r="R411" s="35"/>
    </row>
    <row r="412" spans="1:18" x14ac:dyDescent="0.3">
      <c r="A412" s="28"/>
      <c r="B412" s="29"/>
      <c r="C412" s="29"/>
      <c r="D412" s="29"/>
      <c r="E412" s="29"/>
      <c r="F412" s="29"/>
      <c r="G412" s="29"/>
      <c r="H412" s="29"/>
      <c r="I412" s="29"/>
      <c r="J412" s="29"/>
      <c r="K412" s="29"/>
      <c r="L412" s="30"/>
      <c r="M412" s="30"/>
      <c r="N412" s="29"/>
      <c r="O412" s="28"/>
      <c r="P412" s="29"/>
      <c r="Q412" s="29"/>
      <c r="R412" s="31"/>
    </row>
    <row r="413" spans="1:18" x14ac:dyDescent="0.3">
      <c r="A413" s="32"/>
      <c r="B413" s="33"/>
      <c r="C413" s="33"/>
      <c r="D413" s="33"/>
      <c r="E413" s="33"/>
      <c r="F413" s="33"/>
      <c r="G413" s="33"/>
      <c r="H413" s="33"/>
      <c r="I413" s="33"/>
      <c r="J413" s="33"/>
      <c r="K413" s="33"/>
      <c r="L413" s="34"/>
      <c r="M413" s="34"/>
      <c r="N413" s="33"/>
      <c r="O413" s="32"/>
      <c r="P413" s="33"/>
      <c r="Q413" s="33"/>
      <c r="R413" s="35"/>
    </row>
    <row r="414" spans="1:18" x14ac:dyDescent="0.3">
      <c r="A414" s="28"/>
      <c r="B414" s="29"/>
      <c r="C414" s="29"/>
      <c r="D414" s="29"/>
      <c r="E414" s="29"/>
      <c r="F414" s="29"/>
      <c r="G414" s="29"/>
      <c r="H414" s="29"/>
      <c r="I414" s="29"/>
      <c r="J414" s="29"/>
      <c r="K414" s="29"/>
      <c r="L414" s="30"/>
      <c r="M414" s="30"/>
      <c r="N414" s="29"/>
      <c r="O414" s="28"/>
      <c r="P414" s="29"/>
      <c r="Q414" s="29"/>
      <c r="R414" s="31"/>
    </row>
    <row r="415" spans="1:18" x14ac:dyDescent="0.3">
      <c r="A415" s="32"/>
      <c r="B415" s="33"/>
      <c r="C415" s="33"/>
      <c r="D415" s="33"/>
      <c r="E415" s="33"/>
      <c r="F415" s="33"/>
      <c r="G415" s="33"/>
      <c r="H415" s="33"/>
      <c r="I415" s="33"/>
      <c r="J415" s="33"/>
      <c r="K415" s="33"/>
      <c r="L415" s="34"/>
      <c r="M415" s="34"/>
      <c r="N415" s="33"/>
      <c r="O415" s="32"/>
      <c r="P415" s="33"/>
      <c r="Q415" s="33"/>
      <c r="R415" s="35"/>
    </row>
    <row r="416" spans="1:18" x14ac:dyDescent="0.3">
      <c r="A416" s="28"/>
      <c r="B416" s="29"/>
      <c r="C416" s="29"/>
      <c r="D416" s="29"/>
      <c r="E416" s="29"/>
      <c r="F416" s="29"/>
      <c r="G416" s="29"/>
      <c r="H416" s="29"/>
      <c r="I416" s="29"/>
      <c r="J416" s="29"/>
      <c r="K416" s="29"/>
      <c r="L416" s="30"/>
      <c r="M416" s="30"/>
      <c r="N416" s="29"/>
      <c r="O416" s="28"/>
      <c r="P416" s="29"/>
      <c r="Q416" s="29"/>
      <c r="R416" s="31"/>
    </row>
    <row r="417" spans="1:18" x14ac:dyDescent="0.3">
      <c r="A417" s="32"/>
      <c r="B417" s="33"/>
      <c r="C417" s="33"/>
      <c r="D417" s="33"/>
      <c r="E417" s="33"/>
      <c r="F417" s="33"/>
      <c r="G417" s="33"/>
      <c r="H417" s="33"/>
      <c r="I417" s="33"/>
      <c r="J417" s="33"/>
      <c r="K417" s="33"/>
      <c r="L417" s="34"/>
      <c r="M417" s="34"/>
      <c r="N417" s="33"/>
      <c r="O417" s="32"/>
      <c r="P417" s="33"/>
      <c r="Q417" s="33"/>
      <c r="R417" s="35"/>
    </row>
    <row r="418" spans="1:18" x14ac:dyDescent="0.3">
      <c r="A418" s="28"/>
      <c r="B418" s="29"/>
      <c r="C418" s="29"/>
      <c r="D418" s="29"/>
      <c r="E418" s="29"/>
      <c r="F418" s="29"/>
      <c r="G418" s="29"/>
      <c r="H418" s="29"/>
      <c r="I418" s="29"/>
      <c r="J418" s="29"/>
      <c r="K418" s="29"/>
      <c r="L418" s="30"/>
      <c r="M418" s="30"/>
      <c r="N418" s="29"/>
      <c r="O418" s="28"/>
      <c r="P418" s="29"/>
      <c r="Q418" s="29"/>
      <c r="R418" s="31"/>
    </row>
    <row r="419" spans="1:18" x14ac:dyDescent="0.3">
      <c r="A419" s="32"/>
      <c r="B419" s="33"/>
      <c r="C419" s="33"/>
      <c r="D419" s="33"/>
      <c r="E419" s="33"/>
      <c r="F419" s="33"/>
      <c r="G419" s="33"/>
      <c r="H419" s="33"/>
      <c r="I419" s="33"/>
      <c r="J419" s="33"/>
      <c r="K419" s="33"/>
      <c r="L419" s="34"/>
      <c r="M419" s="34"/>
      <c r="N419" s="33"/>
      <c r="O419" s="32"/>
      <c r="P419" s="33"/>
      <c r="Q419" s="33"/>
      <c r="R419" s="35"/>
    </row>
    <row r="420" spans="1:18" x14ac:dyDescent="0.3">
      <c r="A420" s="28"/>
      <c r="B420" s="29"/>
      <c r="C420" s="29"/>
      <c r="D420" s="29"/>
      <c r="E420" s="29"/>
      <c r="F420" s="29"/>
      <c r="G420" s="29"/>
      <c r="H420" s="29"/>
      <c r="I420" s="29"/>
      <c r="J420" s="29"/>
      <c r="K420" s="29"/>
      <c r="L420" s="30"/>
      <c r="M420" s="30"/>
      <c r="N420" s="29"/>
      <c r="O420" s="28"/>
      <c r="P420" s="29"/>
      <c r="Q420" s="29"/>
      <c r="R420" s="31"/>
    </row>
    <row r="421" spans="1:18" x14ac:dyDescent="0.3">
      <c r="A421" s="32"/>
      <c r="B421" s="33"/>
      <c r="C421" s="33"/>
      <c r="D421" s="33"/>
      <c r="E421" s="33"/>
      <c r="F421" s="33"/>
      <c r="G421" s="33"/>
      <c r="H421" s="33"/>
      <c r="I421" s="33"/>
      <c r="J421" s="33"/>
      <c r="K421" s="33"/>
      <c r="L421" s="34"/>
      <c r="M421" s="34"/>
      <c r="N421" s="33"/>
      <c r="O421" s="32"/>
      <c r="P421" s="33"/>
      <c r="Q421" s="33"/>
      <c r="R421" s="35"/>
    </row>
    <row r="422" spans="1:18" x14ac:dyDescent="0.3">
      <c r="A422" s="28"/>
      <c r="B422" s="29"/>
      <c r="C422" s="29"/>
      <c r="D422" s="29"/>
      <c r="E422" s="29"/>
      <c r="F422" s="29"/>
      <c r="G422" s="29"/>
      <c r="H422" s="29"/>
      <c r="I422" s="29"/>
      <c r="J422" s="29"/>
      <c r="K422" s="29"/>
      <c r="L422" s="30"/>
      <c r="M422" s="30"/>
      <c r="N422" s="29"/>
      <c r="O422" s="28"/>
      <c r="P422" s="29"/>
      <c r="Q422" s="29"/>
      <c r="R422" s="31"/>
    </row>
    <row r="423" spans="1:18" x14ac:dyDescent="0.3">
      <c r="A423" s="32"/>
      <c r="B423" s="33"/>
      <c r="C423" s="33"/>
      <c r="D423" s="33"/>
      <c r="E423" s="33"/>
      <c r="F423" s="33"/>
      <c r="G423" s="33"/>
      <c r="H423" s="33"/>
      <c r="I423" s="33"/>
      <c r="J423" s="33"/>
      <c r="K423" s="33"/>
      <c r="L423" s="34"/>
      <c r="M423" s="34"/>
      <c r="N423" s="33"/>
      <c r="O423" s="32"/>
      <c r="P423" s="33"/>
      <c r="Q423" s="33"/>
      <c r="R423" s="35"/>
    </row>
    <row r="424" spans="1:18" x14ac:dyDescent="0.3">
      <c r="A424" s="28"/>
      <c r="B424" s="29"/>
      <c r="C424" s="29"/>
      <c r="D424" s="29"/>
      <c r="E424" s="29"/>
      <c r="F424" s="29"/>
      <c r="G424" s="29"/>
      <c r="H424" s="29"/>
      <c r="I424" s="29"/>
      <c r="J424" s="29"/>
      <c r="K424" s="29"/>
      <c r="L424" s="30"/>
      <c r="M424" s="30"/>
      <c r="N424" s="29"/>
      <c r="O424" s="28"/>
      <c r="P424" s="29"/>
      <c r="Q424" s="29"/>
      <c r="R424" s="31"/>
    </row>
    <row r="425" spans="1:18" x14ac:dyDescent="0.3">
      <c r="A425" s="32"/>
      <c r="B425" s="33"/>
      <c r="C425" s="33"/>
      <c r="D425" s="33"/>
      <c r="E425" s="33"/>
      <c r="F425" s="33"/>
      <c r="G425" s="33"/>
      <c r="H425" s="33"/>
      <c r="I425" s="33"/>
      <c r="J425" s="33"/>
      <c r="K425" s="33"/>
      <c r="L425" s="34"/>
      <c r="M425" s="34"/>
      <c r="N425" s="33"/>
      <c r="O425" s="32"/>
      <c r="P425" s="33"/>
      <c r="Q425" s="33"/>
      <c r="R425" s="35"/>
    </row>
    <row r="426" spans="1:18" x14ac:dyDescent="0.3">
      <c r="A426" s="28"/>
      <c r="B426" s="29"/>
      <c r="C426" s="29"/>
      <c r="D426" s="29"/>
      <c r="E426" s="29"/>
      <c r="F426" s="29"/>
      <c r="G426" s="29"/>
      <c r="H426" s="29"/>
      <c r="I426" s="29"/>
      <c r="J426" s="29"/>
      <c r="K426" s="29"/>
      <c r="L426" s="30"/>
      <c r="M426" s="30"/>
      <c r="N426" s="29"/>
      <c r="O426" s="28"/>
      <c r="P426" s="29"/>
      <c r="Q426" s="29"/>
      <c r="R426" s="31"/>
    </row>
    <row r="427" spans="1:18" x14ac:dyDescent="0.3">
      <c r="A427" s="32"/>
      <c r="B427" s="33"/>
      <c r="C427" s="33"/>
      <c r="D427" s="33"/>
      <c r="E427" s="33"/>
      <c r="F427" s="33"/>
      <c r="G427" s="33"/>
      <c r="H427" s="33"/>
      <c r="I427" s="33"/>
      <c r="J427" s="33"/>
      <c r="K427" s="33"/>
      <c r="L427" s="34"/>
      <c r="M427" s="34"/>
      <c r="N427" s="33"/>
      <c r="O427" s="32"/>
      <c r="P427" s="33"/>
      <c r="Q427" s="33"/>
      <c r="R427" s="35"/>
    </row>
    <row r="428" spans="1:18" x14ac:dyDescent="0.3">
      <c r="A428" s="28"/>
      <c r="B428" s="29"/>
      <c r="C428" s="29"/>
      <c r="D428" s="29"/>
      <c r="E428" s="29"/>
      <c r="F428" s="29"/>
      <c r="G428" s="29"/>
      <c r="H428" s="29"/>
      <c r="I428" s="29"/>
      <c r="J428" s="29"/>
      <c r="K428" s="29"/>
      <c r="L428" s="30"/>
      <c r="M428" s="30"/>
      <c r="N428" s="29"/>
      <c r="O428" s="28"/>
      <c r="P428" s="29"/>
      <c r="Q428" s="29"/>
      <c r="R428" s="31"/>
    </row>
    <row r="429" spans="1:18" x14ac:dyDescent="0.3">
      <c r="A429" s="32"/>
      <c r="B429" s="33"/>
      <c r="C429" s="33"/>
      <c r="D429" s="33"/>
      <c r="E429" s="33"/>
      <c r="F429" s="33"/>
      <c r="G429" s="33"/>
      <c r="H429" s="33"/>
      <c r="I429" s="33"/>
      <c r="J429" s="33"/>
      <c r="K429" s="33"/>
      <c r="L429" s="34"/>
      <c r="M429" s="34"/>
      <c r="N429" s="33"/>
      <c r="O429" s="32"/>
      <c r="P429" s="33"/>
      <c r="Q429" s="33"/>
      <c r="R429" s="35"/>
    </row>
    <row r="430" spans="1:18" x14ac:dyDescent="0.3">
      <c r="A430" s="28"/>
      <c r="B430" s="29"/>
      <c r="C430" s="29"/>
      <c r="D430" s="29"/>
      <c r="E430" s="29"/>
      <c r="F430" s="29"/>
      <c r="G430" s="29"/>
      <c r="H430" s="29"/>
      <c r="I430" s="29"/>
      <c r="J430" s="29"/>
      <c r="K430" s="29"/>
      <c r="L430" s="30"/>
      <c r="M430" s="30"/>
      <c r="N430" s="29"/>
      <c r="O430" s="28"/>
      <c r="P430" s="29"/>
      <c r="Q430" s="29"/>
      <c r="R430" s="31"/>
    </row>
    <row r="431" spans="1:18" x14ac:dyDescent="0.3">
      <c r="A431" s="32"/>
      <c r="B431" s="33"/>
      <c r="C431" s="33"/>
      <c r="D431" s="33"/>
      <c r="E431" s="33"/>
      <c r="F431" s="33"/>
      <c r="G431" s="33"/>
      <c r="H431" s="33"/>
      <c r="I431" s="33"/>
      <c r="J431" s="33"/>
      <c r="K431" s="33"/>
      <c r="L431" s="34"/>
      <c r="M431" s="34"/>
      <c r="N431" s="33"/>
      <c r="O431" s="32"/>
      <c r="P431" s="33"/>
      <c r="Q431" s="33"/>
      <c r="R431" s="35"/>
    </row>
    <row r="432" spans="1:18" x14ac:dyDescent="0.3">
      <c r="A432" s="28"/>
      <c r="B432" s="29"/>
      <c r="C432" s="29"/>
      <c r="D432" s="29"/>
      <c r="E432" s="29"/>
      <c r="F432" s="29"/>
      <c r="G432" s="29"/>
      <c r="H432" s="29"/>
      <c r="I432" s="29"/>
      <c r="J432" s="29"/>
      <c r="K432" s="29"/>
      <c r="L432" s="30"/>
      <c r="M432" s="30"/>
      <c r="N432" s="29"/>
      <c r="O432" s="28"/>
      <c r="P432" s="29"/>
      <c r="Q432" s="29"/>
      <c r="R432" s="31"/>
    </row>
    <row r="433" spans="1:18" x14ac:dyDescent="0.3">
      <c r="A433" s="32"/>
      <c r="B433" s="33"/>
      <c r="C433" s="33"/>
      <c r="D433" s="33"/>
      <c r="E433" s="33"/>
      <c r="F433" s="33"/>
      <c r="G433" s="33"/>
      <c r="H433" s="33"/>
      <c r="I433" s="33"/>
      <c r="J433" s="33"/>
      <c r="K433" s="33"/>
      <c r="L433" s="34"/>
      <c r="M433" s="34"/>
      <c r="N433" s="33"/>
      <c r="O433" s="32"/>
      <c r="P433" s="33"/>
      <c r="Q433" s="33"/>
      <c r="R433" s="35"/>
    </row>
    <row r="434" spans="1:18" x14ac:dyDescent="0.3">
      <c r="A434" s="28"/>
      <c r="B434" s="29"/>
      <c r="C434" s="29"/>
      <c r="D434" s="29"/>
      <c r="E434" s="29"/>
      <c r="F434" s="29"/>
      <c r="G434" s="29"/>
      <c r="H434" s="29"/>
      <c r="I434" s="29"/>
      <c r="J434" s="29"/>
      <c r="K434" s="29"/>
      <c r="L434" s="30"/>
      <c r="M434" s="30"/>
      <c r="N434" s="29"/>
      <c r="O434" s="28"/>
      <c r="P434" s="29"/>
      <c r="Q434" s="29"/>
      <c r="R434" s="31"/>
    </row>
    <row r="435" spans="1:18" x14ac:dyDescent="0.3">
      <c r="A435" s="32"/>
      <c r="B435" s="33"/>
      <c r="C435" s="33"/>
      <c r="D435" s="33"/>
      <c r="E435" s="33"/>
      <c r="F435" s="33"/>
      <c r="G435" s="33"/>
      <c r="H435" s="33"/>
      <c r="I435" s="33"/>
      <c r="J435" s="33"/>
      <c r="K435" s="33"/>
      <c r="L435" s="34"/>
      <c r="M435" s="34"/>
      <c r="N435" s="33"/>
      <c r="O435" s="32"/>
      <c r="P435" s="33"/>
      <c r="Q435" s="33"/>
      <c r="R435" s="35"/>
    </row>
    <row r="436" spans="1:18" x14ac:dyDescent="0.3">
      <c r="A436" s="28"/>
      <c r="B436" s="29"/>
      <c r="C436" s="29"/>
      <c r="D436" s="29"/>
      <c r="E436" s="29"/>
      <c r="F436" s="29"/>
      <c r="G436" s="29"/>
      <c r="H436" s="29"/>
      <c r="I436" s="29"/>
      <c r="J436" s="29"/>
      <c r="K436" s="29"/>
      <c r="L436" s="30"/>
      <c r="M436" s="30"/>
      <c r="N436" s="29"/>
      <c r="O436" s="28"/>
      <c r="P436" s="29"/>
      <c r="Q436" s="29"/>
      <c r="R436" s="31"/>
    </row>
    <row r="437" spans="1:18" x14ac:dyDescent="0.3">
      <c r="A437" s="32"/>
      <c r="B437" s="33"/>
      <c r="C437" s="33"/>
      <c r="D437" s="33"/>
      <c r="E437" s="33"/>
      <c r="F437" s="33"/>
      <c r="G437" s="33"/>
      <c r="H437" s="33"/>
      <c r="I437" s="33"/>
      <c r="J437" s="33"/>
      <c r="K437" s="33"/>
      <c r="L437" s="34"/>
      <c r="M437" s="34"/>
      <c r="N437" s="33"/>
      <c r="O437" s="32"/>
      <c r="P437" s="33"/>
      <c r="Q437" s="33"/>
      <c r="R437" s="35"/>
    </row>
    <row r="438" spans="1:18" x14ac:dyDescent="0.3">
      <c r="A438" s="28"/>
      <c r="B438" s="29"/>
      <c r="C438" s="29"/>
      <c r="D438" s="29"/>
      <c r="E438" s="29"/>
      <c r="F438" s="29"/>
      <c r="G438" s="29"/>
      <c r="H438" s="29"/>
      <c r="I438" s="29"/>
      <c r="J438" s="29"/>
      <c r="K438" s="29"/>
      <c r="L438" s="30"/>
      <c r="M438" s="30"/>
      <c r="N438" s="29"/>
      <c r="O438" s="28"/>
      <c r="P438" s="29"/>
      <c r="Q438" s="29"/>
      <c r="R438" s="31"/>
    </row>
    <row r="439" spans="1:18" x14ac:dyDescent="0.3">
      <c r="A439" s="32"/>
      <c r="B439" s="33"/>
      <c r="C439" s="33"/>
      <c r="D439" s="33"/>
      <c r="E439" s="33"/>
      <c r="F439" s="33"/>
      <c r="G439" s="33"/>
      <c r="H439" s="33"/>
      <c r="I439" s="33"/>
      <c r="J439" s="33"/>
      <c r="K439" s="33"/>
      <c r="L439" s="34"/>
      <c r="M439" s="34"/>
      <c r="N439" s="33"/>
      <c r="O439" s="32"/>
      <c r="P439" s="33"/>
      <c r="Q439" s="33"/>
      <c r="R439" s="35"/>
    </row>
    <row r="440" spans="1:18" x14ac:dyDescent="0.3">
      <c r="A440" s="28"/>
      <c r="B440" s="29"/>
      <c r="C440" s="29"/>
      <c r="D440" s="29"/>
      <c r="E440" s="29"/>
      <c r="F440" s="29"/>
      <c r="G440" s="29"/>
      <c r="H440" s="29"/>
      <c r="I440" s="29"/>
      <c r="J440" s="29"/>
      <c r="K440" s="29"/>
      <c r="L440" s="30"/>
      <c r="M440" s="30"/>
      <c r="N440" s="29"/>
      <c r="O440" s="28"/>
      <c r="P440" s="29"/>
      <c r="Q440" s="29"/>
      <c r="R440" s="31"/>
    </row>
    <row r="441" spans="1:18" x14ac:dyDescent="0.3">
      <c r="A441" s="32"/>
      <c r="B441" s="33"/>
      <c r="C441" s="33"/>
      <c r="D441" s="33"/>
      <c r="E441" s="33"/>
      <c r="F441" s="33"/>
      <c r="G441" s="33"/>
      <c r="H441" s="33"/>
      <c r="I441" s="33"/>
      <c r="J441" s="33"/>
      <c r="K441" s="33"/>
      <c r="L441" s="34"/>
      <c r="M441" s="34"/>
      <c r="N441" s="33"/>
      <c r="O441" s="32"/>
      <c r="P441" s="33"/>
      <c r="Q441" s="33"/>
      <c r="R441" s="35"/>
    </row>
    <row r="442" spans="1:18" x14ac:dyDescent="0.3">
      <c r="A442" s="28"/>
      <c r="B442" s="29"/>
      <c r="C442" s="29"/>
      <c r="D442" s="29"/>
      <c r="E442" s="29"/>
      <c r="F442" s="29"/>
      <c r="G442" s="29"/>
      <c r="H442" s="29"/>
      <c r="I442" s="29"/>
      <c r="J442" s="29"/>
      <c r="K442" s="29"/>
      <c r="L442" s="30"/>
      <c r="M442" s="30"/>
      <c r="N442" s="29"/>
      <c r="O442" s="28"/>
      <c r="P442" s="29"/>
      <c r="Q442" s="29"/>
      <c r="R442" s="31"/>
    </row>
    <row r="443" spans="1:18" x14ac:dyDescent="0.3">
      <c r="A443" s="32"/>
      <c r="B443" s="33"/>
      <c r="C443" s="33"/>
      <c r="D443" s="33"/>
      <c r="E443" s="33"/>
      <c r="F443" s="33"/>
      <c r="G443" s="33"/>
      <c r="H443" s="33"/>
      <c r="I443" s="33"/>
      <c r="J443" s="33"/>
      <c r="K443" s="33"/>
      <c r="L443" s="34"/>
      <c r="M443" s="34"/>
      <c r="N443" s="33"/>
      <c r="O443" s="32"/>
      <c r="P443" s="33"/>
      <c r="Q443" s="33"/>
      <c r="R443" s="35"/>
    </row>
    <row r="444" spans="1:18" x14ac:dyDescent="0.3">
      <c r="A444" s="28"/>
      <c r="B444" s="29"/>
      <c r="C444" s="29"/>
      <c r="D444" s="29"/>
      <c r="E444" s="29"/>
      <c r="F444" s="29"/>
      <c r="G444" s="29"/>
      <c r="H444" s="29"/>
      <c r="I444" s="29"/>
      <c r="J444" s="29"/>
      <c r="K444" s="29"/>
      <c r="L444" s="30"/>
      <c r="M444" s="30"/>
      <c r="N444" s="29"/>
      <c r="O444" s="28"/>
      <c r="P444" s="29"/>
      <c r="Q444" s="29"/>
      <c r="R444" s="31"/>
    </row>
    <row r="445" spans="1:18" x14ac:dyDescent="0.3">
      <c r="A445" s="32"/>
      <c r="B445" s="33"/>
      <c r="C445" s="33"/>
      <c r="D445" s="33"/>
      <c r="E445" s="33"/>
      <c r="F445" s="33"/>
      <c r="G445" s="33"/>
      <c r="H445" s="33"/>
      <c r="I445" s="33"/>
      <c r="J445" s="33"/>
      <c r="K445" s="33"/>
      <c r="L445" s="34"/>
      <c r="M445" s="34"/>
      <c r="N445" s="33"/>
      <c r="O445" s="32"/>
      <c r="P445" s="33"/>
      <c r="Q445" s="33"/>
      <c r="R445" s="35"/>
    </row>
    <row r="446" spans="1:18" x14ac:dyDescent="0.3">
      <c r="A446" s="28"/>
      <c r="B446" s="29"/>
      <c r="C446" s="29"/>
      <c r="D446" s="29"/>
      <c r="E446" s="29"/>
      <c r="F446" s="29"/>
      <c r="G446" s="29"/>
      <c r="H446" s="29"/>
      <c r="I446" s="29"/>
      <c r="J446" s="29"/>
      <c r="K446" s="29"/>
      <c r="L446" s="30"/>
      <c r="M446" s="30"/>
      <c r="N446" s="29"/>
      <c r="O446" s="28"/>
      <c r="P446" s="29"/>
      <c r="Q446" s="29"/>
      <c r="R446" s="31"/>
    </row>
    <row r="447" spans="1:18" x14ac:dyDescent="0.3">
      <c r="A447" s="32"/>
      <c r="B447" s="33"/>
      <c r="C447" s="33"/>
      <c r="D447" s="33"/>
      <c r="E447" s="33"/>
      <c r="F447" s="33"/>
      <c r="G447" s="33"/>
      <c r="H447" s="33"/>
      <c r="I447" s="33"/>
      <c r="J447" s="33"/>
      <c r="K447" s="33"/>
      <c r="L447" s="34"/>
      <c r="M447" s="34"/>
      <c r="N447" s="33"/>
      <c r="O447" s="32"/>
      <c r="P447" s="33"/>
      <c r="Q447" s="33"/>
      <c r="R447" s="35"/>
    </row>
    <row r="448" spans="1:18" x14ac:dyDescent="0.3">
      <c r="A448" s="28"/>
      <c r="B448" s="29"/>
      <c r="C448" s="29"/>
      <c r="D448" s="29"/>
      <c r="E448" s="29"/>
      <c r="F448" s="29"/>
      <c r="G448" s="29"/>
      <c r="H448" s="29"/>
      <c r="I448" s="29"/>
      <c r="J448" s="29"/>
      <c r="K448" s="29"/>
      <c r="L448" s="30"/>
      <c r="M448" s="30"/>
      <c r="N448" s="29"/>
      <c r="O448" s="28"/>
      <c r="P448" s="29"/>
      <c r="Q448" s="29"/>
      <c r="R448" s="31"/>
    </row>
    <row r="449" spans="1:18" x14ac:dyDescent="0.3">
      <c r="A449" s="32"/>
      <c r="B449" s="33"/>
      <c r="C449" s="33"/>
      <c r="D449" s="33"/>
      <c r="E449" s="33"/>
      <c r="F449" s="33"/>
      <c r="G449" s="33"/>
      <c r="H449" s="33"/>
      <c r="I449" s="33"/>
      <c r="J449" s="33"/>
      <c r="K449" s="33"/>
      <c r="L449" s="34"/>
      <c r="M449" s="34"/>
      <c r="N449" s="33"/>
      <c r="O449" s="32"/>
      <c r="P449" s="33"/>
      <c r="Q449" s="33"/>
      <c r="R449" s="35"/>
    </row>
    <row r="450" spans="1:18" x14ac:dyDescent="0.3">
      <c r="A450" s="28"/>
      <c r="B450" s="29"/>
      <c r="C450" s="29"/>
      <c r="D450" s="29"/>
      <c r="E450" s="29"/>
      <c r="F450" s="29"/>
      <c r="G450" s="29"/>
      <c r="H450" s="29"/>
      <c r="I450" s="29"/>
      <c r="J450" s="29"/>
      <c r="K450" s="29"/>
      <c r="L450" s="30"/>
      <c r="M450" s="30"/>
      <c r="N450" s="29"/>
      <c r="O450" s="28"/>
      <c r="P450" s="29"/>
      <c r="Q450" s="29"/>
      <c r="R450" s="31"/>
    </row>
    <row r="451" spans="1:18" x14ac:dyDescent="0.3">
      <c r="A451" s="32"/>
      <c r="B451" s="33"/>
      <c r="C451" s="33"/>
      <c r="D451" s="33"/>
      <c r="E451" s="33"/>
      <c r="F451" s="33"/>
      <c r="G451" s="33"/>
      <c r="H451" s="33"/>
      <c r="I451" s="33"/>
      <c r="J451" s="33"/>
      <c r="K451" s="33"/>
      <c r="L451" s="34"/>
      <c r="M451" s="34"/>
      <c r="N451" s="33"/>
      <c r="O451" s="32"/>
      <c r="P451" s="33"/>
      <c r="Q451" s="33"/>
      <c r="R451" s="35"/>
    </row>
    <row r="452" spans="1:18" x14ac:dyDescent="0.3">
      <c r="A452" s="28"/>
      <c r="B452" s="29"/>
      <c r="C452" s="29"/>
      <c r="D452" s="29"/>
      <c r="E452" s="29"/>
      <c r="F452" s="29"/>
      <c r="G452" s="29"/>
      <c r="H452" s="29"/>
      <c r="I452" s="29"/>
      <c r="J452" s="29"/>
      <c r="K452" s="29"/>
      <c r="L452" s="30"/>
      <c r="M452" s="30"/>
      <c r="N452" s="29"/>
      <c r="O452" s="28"/>
      <c r="P452" s="29"/>
      <c r="Q452" s="29"/>
      <c r="R452" s="31"/>
    </row>
    <row r="453" spans="1:18" x14ac:dyDescent="0.3">
      <c r="A453" s="32"/>
      <c r="B453" s="33"/>
      <c r="C453" s="33"/>
      <c r="D453" s="33"/>
      <c r="E453" s="33"/>
      <c r="F453" s="33"/>
      <c r="G453" s="33"/>
      <c r="H453" s="33"/>
      <c r="I453" s="33"/>
      <c r="J453" s="33"/>
      <c r="K453" s="33"/>
      <c r="L453" s="34"/>
      <c r="M453" s="34"/>
      <c r="N453" s="33"/>
      <c r="O453" s="32"/>
      <c r="P453" s="33"/>
      <c r="Q453" s="33"/>
      <c r="R453" s="35"/>
    </row>
    <row r="454" spans="1:18" x14ac:dyDescent="0.3">
      <c r="A454" s="28"/>
      <c r="B454" s="29"/>
      <c r="C454" s="29"/>
      <c r="D454" s="29"/>
      <c r="E454" s="29"/>
      <c r="F454" s="29"/>
      <c r="G454" s="29"/>
      <c r="H454" s="29"/>
      <c r="I454" s="29"/>
      <c r="J454" s="29"/>
      <c r="K454" s="29"/>
      <c r="L454" s="30"/>
      <c r="M454" s="30"/>
      <c r="N454" s="29"/>
      <c r="O454" s="28"/>
      <c r="P454" s="29"/>
      <c r="Q454" s="29"/>
      <c r="R454" s="31"/>
    </row>
    <row r="455" spans="1:18" x14ac:dyDescent="0.3">
      <c r="A455" s="32"/>
      <c r="B455" s="33"/>
      <c r="C455" s="33"/>
      <c r="D455" s="33"/>
      <c r="E455" s="33"/>
      <c r="F455" s="33"/>
      <c r="G455" s="33"/>
      <c r="H455" s="33"/>
      <c r="I455" s="33"/>
      <c r="J455" s="33"/>
      <c r="K455" s="33"/>
      <c r="L455" s="34"/>
      <c r="M455" s="34"/>
      <c r="N455" s="33"/>
      <c r="O455" s="32"/>
      <c r="P455" s="33"/>
      <c r="Q455" s="33"/>
      <c r="R455" s="35"/>
    </row>
    <row r="456" spans="1:18" x14ac:dyDescent="0.3">
      <c r="A456" s="28"/>
      <c r="B456" s="29"/>
      <c r="C456" s="29"/>
      <c r="D456" s="29"/>
      <c r="E456" s="29"/>
      <c r="F456" s="29"/>
      <c r="G456" s="29"/>
      <c r="H456" s="29"/>
      <c r="I456" s="29"/>
      <c r="J456" s="29"/>
      <c r="K456" s="29"/>
      <c r="L456" s="30"/>
      <c r="M456" s="30"/>
      <c r="N456" s="29"/>
      <c r="O456" s="28"/>
      <c r="P456" s="29"/>
      <c r="Q456" s="29"/>
      <c r="R456" s="31"/>
    </row>
    <row r="457" spans="1:18" x14ac:dyDescent="0.3">
      <c r="A457" s="32"/>
      <c r="B457" s="33"/>
      <c r="C457" s="33"/>
      <c r="D457" s="33"/>
      <c r="E457" s="33"/>
      <c r="F457" s="33"/>
      <c r="G457" s="33"/>
      <c r="H457" s="33"/>
      <c r="I457" s="33"/>
      <c r="J457" s="33"/>
      <c r="K457" s="33"/>
      <c r="L457" s="34"/>
      <c r="M457" s="34"/>
      <c r="N457" s="33"/>
      <c r="O457" s="32"/>
      <c r="P457" s="33"/>
      <c r="Q457" s="33"/>
      <c r="R457" s="35"/>
    </row>
    <row r="458" spans="1:18" x14ac:dyDescent="0.3">
      <c r="A458" s="28"/>
      <c r="B458" s="29"/>
      <c r="C458" s="29"/>
      <c r="D458" s="29"/>
      <c r="E458" s="29"/>
      <c r="F458" s="29"/>
      <c r="G458" s="29"/>
      <c r="H458" s="29"/>
      <c r="I458" s="29"/>
      <c r="J458" s="29"/>
      <c r="K458" s="29"/>
      <c r="L458" s="30"/>
      <c r="M458" s="30"/>
      <c r="N458" s="29"/>
      <c r="O458" s="28"/>
      <c r="P458" s="29"/>
      <c r="Q458" s="29"/>
      <c r="R458" s="31"/>
    </row>
    <row r="459" spans="1:18" x14ac:dyDescent="0.3">
      <c r="A459" s="32"/>
      <c r="B459" s="33"/>
      <c r="C459" s="33"/>
      <c r="D459" s="33"/>
      <c r="E459" s="33"/>
      <c r="F459" s="33"/>
      <c r="G459" s="33"/>
      <c r="H459" s="33"/>
      <c r="I459" s="33"/>
      <c r="J459" s="33"/>
      <c r="K459" s="33"/>
      <c r="L459" s="34"/>
      <c r="M459" s="34"/>
      <c r="N459" s="33"/>
      <c r="O459" s="32"/>
      <c r="P459" s="33"/>
      <c r="Q459" s="33"/>
      <c r="R459" s="35"/>
    </row>
    <row r="460" spans="1:18" x14ac:dyDescent="0.3">
      <c r="A460" s="28"/>
      <c r="B460" s="29"/>
      <c r="C460" s="29"/>
      <c r="D460" s="29"/>
      <c r="E460" s="29"/>
      <c r="F460" s="29"/>
      <c r="G460" s="29"/>
      <c r="H460" s="29"/>
      <c r="I460" s="29"/>
      <c r="J460" s="29"/>
      <c r="K460" s="29"/>
      <c r="L460" s="30"/>
      <c r="M460" s="30"/>
      <c r="N460" s="29"/>
      <c r="O460" s="28"/>
      <c r="P460" s="29"/>
      <c r="Q460" s="29"/>
      <c r="R460" s="31"/>
    </row>
    <row r="461" spans="1:18" x14ac:dyDescent="0.3">
      <c r="A461" s="32"/>
      <c r="B461" s="33"/>
      <c r="C461" s="33"/>
      <c r="D461" s="33"/>
      <c r="E461" s="33"/>
      <c r="F461" s="33"/>
      <c r="G461" s="33"/>
      <c r="H461" s="33"/>
      <c r="I461" s="33"/>
      <c r="J461" s="33"/>
      <c r="K461" s="33"/>
      <c r="L461" s="34"/>
      <c r="M461" s="34"/>
      <c r="N461" s="33"/>
      <c r="O461" s="32"/>
      <c r="P461" s="33"/>
      <c r="Q461" s="33"/>
      <c r="R461" s="35"/>
    </row>
    <row r="462" spans="1:18" x14ac:dyDescent="0.3">
      <c r="A462" s="28"/>
      <c r="B462" s="29"/>
      <c r="C462" s="29"/>
      <c r="D462" s="29"/>
      <c r="E462" s="29"/>
      <c r="F462" s="29"/>
      <c r="G462" s="29"/>
      <c r="H462" s="29"/>
      <c r="I462" s="29"/>
      <c r="J462" s="29"/>
      <c r="K462" s="29"/>
      <c r="L462" s="30"/>
      <c r="M462" s="30"/>
      <c r="N462" s="29"/>
      <c r="O462" s="28"/>
      <c r="P462" s="29"/>
      <c r="Q462" s="29"/>
      <c r="R462" s="31"/>
    </row>
    <row r="463" spans="1:18" x14ac:dyDescent="0.3">
      <c r="A463" s="32"/>
      <c r="B463" s="33"/>
      <c r="C463" s="33"/>
      <c r="D463" s="33"/>
      <c r="E463" s="33"/>
      <c r="F463" s="33"/>
      <c r="G463" s="33"/>
      <c r="H463" s="33"/>
      <c r="I463" s="33"/>
      <c r="J463" s="33"/>
      <c r="K463" s="33"/>
      <c r="L463" s="34"/>
      <c r="M463" s="34"/>
      <c r="N463" s="33"/>
      <c r="O463" s="32"/>
      <c r="P463" s="33"/>
      <c r="Q463" s="33"/>
      <c r="R463" s="35"/>
    </row>
    <row r="464" spans="1:18" x14ac:dyDescent="0.3">
      <c r="A464" s="28"/>
      <c r="B464" s="29"/>
      <c r="C464" s="29"/>
      <c r="D464" s="29"/>
      <c r="E464" s="29"/>
      <c r="F464" s="29"/>
      <c r="G464" s="29"/>
      <c r="H464" s="29"/>
      <c r="I464" s="29"/>
      <c r="J464" s="29"/>
      <c r="K464" s="29"/>
      <c r="L464" s="30"/>
      <c r="M464" s="30"/>
      <c r="N464" s="29"/>
      <c r="O464" s="28"/>
      <c r="P464" s="29"/>
      <c r="Q464" s="29"/>
      <c r="R464" s="31"/>
    </row>
    <row r="465" spans="1:18" x14ac:dyDescent="0.3">
      <c r="A465" s="32"/>
      <c r="B465" s="33"/>
      <c r="C465" s="33"/>
      <c r="D465" s="33"/>
      <c r="E465" s="33"/>
      <c r="F465" s="33"/>
      <c r="G465" s="33"/>
      <c r="H465" s="33"/>
      <c r="I465" s="33"/>
      <c r="J465" s="33"/>
      <c r="K465" s="33"/>
      <c r="L465" s="34"/>
      <c r="M465" s="34"/>
      <c r="N465" s="33"/>
      <c r="O465" s="32"/>
      <c r="P465" s="33"/>
      <c r="Q465" s="33"/>
      <c r="R465" s="35"/>
    </row>
    <row r="466" spans="1:18" x14ac:dyDescent="0.3">
      <c r="A466" s="28"/>
      <c r="B466" s="29"/>
      <c r="C466" s="29"/>
      <c r="D466" s="29"/>
      <c r="E466" s="29"/>
      <c r="F466" s="29"/>
      <c r="G466" s="29"/>
      <c r="H466" s="29"/>
      <c r="I466" s="29"/>
      <c r="J466" s="29"/>
      <c r="K466" s="29"/>
      <c r="L466" s="30"/>
      <c r="M466" s="30"/>
      <c r="N466" s="29"/>
      <c r="O466" s="28"/>
      <c r="P466" s="29"/>
      <c r="Q466" s="29"/>
      <c r="R466" s="31"/>
    </row>
    <row r="467" spans="1:18" x14ac:dyDescent="0.3">
      <c r="A467" s="32"/>
      <c r="B467" s="33"/>
      <c r="C467" s="33"/>
      <c r="D467" s="33"/>
      <c r="E467" s="33"/>
      <c r="F467" s="33"/>
      <c r="G467" s="33"/>
      <c r="H467" s="33"/>
      <c r="I467" s="33"/>
      <c r="J467" s="33"/>
      <c r="K467" s="33"/>
      <c r="L467" s="34"/>
      <c r="M467" s="34"/>
      <c r="N467" s="33"/>
      <c r="O467" s="32"/>
      <c r="P467" s="33"/>
      <c r="Q467" s="33"/>
      <c r="R467" s="35"/>
    </row>
    <row r="468" spans="1:18" x14ac:dyDescent="0.3">
      <c r="A468" s="28"/>
      <c r="B468" s="29"/>
      <c r="C468" s="29"/>
      <c r="D468" s="29"/>
      <c r="E468" s="29"/>
      <c r="F468" s="29"/>
      <c r="G468" s="29"/>
      <c r="H468" s="29"/>
      <c r="I468" s="29"/>
      <c r="J468" s="29"/>
      <c r="K468" s="29"/>
      <c r="L468" s="30"/>
      <c r="M468" s="30"/>
      <c r="N468" s="29"/>
      <c r="O468" s="28"/>
      <c r="P468" s="29"/>
      <c r="Q468" s="29"/>
      <c r="R468" s="31"/>
    </row>
    <row r="469" spans="1:18" x14ac:dyDescent="0.3">
      <c r="A469" s="32"/>
      <c r="B469" s="33"/>
      <c r="C469" s="33"/>
      <c r="D469" s="33"/>
      <c r="E469" s="33"/>
      <c r="F469" s="33"/>
      <c r="G469" s="33"/>
      <c r="H469" s="33"/>
      <c r="I469" s="33"/>
      <c r="J469" s="33"/>
      <c r="K469" s="33"/>
      <c r="L469" s="34"/>
      <c r="M469" s="34"/>
      <c r="N469" s="33"/>
      <c r="O469" s="32"/>
      <c r="P469" s="33"/>
      <c r="Q469" s="33"/>
      <c r="R469" s="35"/>
    </row>
    <row r="470" spans="1:18" x14ac:dyDescent="0.3">
      <c r="A470" s="28"/>
      <c r="B470" s="29"/>
      <c r="C470" s="29"/>
      <c r="D470" s="29"/>
      <c r="E470" s="29"/>
      <c r="F470" s="29"/>
      <c r="G470" s="29"/>
      <c r="H470" s="29"/>
      <c r="I470" s="29"/>
      <c r="J470" s="29"/>
      <c r="K470" s="29"/>
      <c r="L470" s="30"/>
      <c r="M470" s="30"/>
      <c r="N470" s="29"/>
      <c r="O470" s="28"/>
      <c r="P470" s="29"/>
      <c r="Q470" s="29"/>
      <c r="R470" s="31"/>
    </row>
    <row r="471" spans="1:18" x14ac:dyDescent="0.3">
      <c r="A471" s="32"/>
      <c r="B471" s="33"/>
      <c r="C471" s="33"/>
      <c r="D471" s="33"/>
      <c r="E471" s="33"/>
      <c r="F471" s="33"/>
      <c r="G471" s="33"/>
      <c r="H471" s="33"/>
      <c r="I471" s="33"/>
      <c r="J471" s="33"/>
      <c r="K471" s="33"/>
      <c r="L471" s="34"/>
      <c r="M471" s="34"/>
      <c r="N471" s="33"/>
      <c r="O471" s="32"/>
      <c r="P471" s="33"/>
      <c r="Q471" s="33"/>
      <c r="R471" s="35"/>
    </row>
    <row r="472" spans="1:18" x14ac:dyDescent="0.3">
      <c r="A472" s="28"/>
      <c r="B472" s="29"/>
      <c r="C472" s="29"/>
      <c r="D472" s="29"/>
      <c r="E472" s="29"/>
      <c r="F472" s="29"/>
      <c r="G472" s="29"/>
      <c r="H472" s="29"/>
      <c r="I472" s="29"/>
      <c r="J472" s="29"/>
      <c r="K472" s="29"/>
      <c r="L472" s="30"/>
      <c r="M472" s="30"/>
      <c r="N472" s="29"/>
      <c r="O472" s="28"/>
      <c r="P472" s="29"/>
      <c r="Q472" s="29"/>
      <c r="R472" s="31"/>
    </row>
    <row r="473" spans="1:18" x14ac:dyDescent="0.3">
      <c r="A473" s="32"/>
      <c r="B473" s="33"/>
      <c r="C473" s="33"/>
      <c r="D473" s="33"/>
      <c r="E473" s="33"/>
      <c r="F473" s="33"/>
      <c r="G473" s="33"/>
      <c r="H473" s="33"/>
      <c r="I473" s="33"/>
      <c r="J473" s="33"/>
      <c r="K473" s="33"/>
      <c r="L473" s="34"/>
      <c r="M473" s="34"/>
      <c r="N473" s="33"/>
      <c r="O473" s="32"/>
      <c r="P473" s="33"/>
      <c r="Q473" s="33"/>
      <c r="R473" s="35"/>
    </row>
    <row r="474" spans="1:18" x14ac:dyDescent="0.3">
      <c r="A474" s="28"/>
      <c r="B474" s="29"/>
      <c r="C474" s="29"/>
      <c r="D474" s="29"/>
      <c r="E474" s="29"/>
      <c r="F474" s="29"/>
      <c r="G474" s="29"/>
      <c r="H474" s="29"/>
      <c r="I474" s="29"/>
      <c r="J474" s="29"/>
      <c r="K474" s="29"/>
      <c r="L474" s="30"/>
      <c r="M474" s="30"/>
      <c r="N474" s="29"/>
      <c r="O474" s="28"/>
      <c r="P474" s="29"/>
      <c r="Q474" s="29"/>
      <c r="R474" s="31"/>
    </row>
    <row r="475" spans="1:18" x14ac:dyDescent="0.3">
      <c r="A475" s="32"/>
      <c r="B475" s="33"/>
      <c r="C475" s="33"/>
      <c r="D475" s="33"/>
      <c r="E475" s="33"/>
      <c r="F475" s="33"/>
      <c r="G475" s="33"/>
      <c r="H475" s="33"/>
      <c r="I475" s="33"/>
      <c r="J475" s="33"/>
      <c r="K475" s="33"/>
      <c r="L475" s="34"/>
      <c r="M475" s="34"/>
      <c r="N475" s="33"/>
      <c r="O475" s="32"/>
      <c r="P475" s="33"/>
      <c r="Q475" s="33"/>
      <c r="R475" s="35"/>
    </row>
    <row r="476" spans="1:18" x14ac:dyDescent="0.3">
      <c r="A476" s="28"/>
      <c r="B476" s="29"/>
      <c r="C476" s="29"/>
      <c r="D476" s="29"/>
      <c r="E476" s="29"/>
      <c r="F476" s="29"/>
      <c r="G476" s="29"/>
      <c r="H476" s="29"/>
      <c r="I476" s="29"/>
      <c r="J476" s="29"/>
      <c r="K476" s="29"/>
      <c r="L476" s="30"/>
      <c r="M476" s="30"/>
      <c r="N476" s="29"/>
      <c r="O476" s="28"/>
      <c r="P476" s="29"/>
      <c r="Q476" s="29"/>
      <c r="R476" s="31"/>
    </row>
    <row r="477" spans="1:18" x14ac:dyDescent="0.3">
      <c r="A477" s="32"/>
      <c r="B477" s="33"/>
      <c r="C477" s="33"/>
      <c r="D477" s="33"/>
      <c r="E477" s="33"/>
      <c r="F477" s="33"/>
      <c r="G477" s="33"/>
      <c r="H477" s="33"/>
      <c r="I477" s="33"/>
      <c r="J477" s="33"/>
      <c r="K477" s="33"/>
      <c r="L477" s="34"/>
      <c r="M477" s="34"/>
      <c r="N477" s="33"/>
      <c r="O477" s="32"/>
      <c r="P477" s="33"/>
      <c r="Q477" s="33"/>
      <c r="R477" s="35"/>
    </row>
    <row r="478" spans="1:18" x14ac:dyDescent="0.3">
      <c r="A478" s="28"/>
      <c r="B478" s="29"/>
      <c r="C478" s="29"/>
      <c r="D478" s="29"/>
      <c r="E478" s="29"/>
      <c r="F478" s="29"/>
      <c r="G478" s="29"/>
      <c r="H478" s="29"/>
      <c r="I478" s="29"/>
      <c r="J478" s="29"/>
      <c r="K478" s="29"/>
      <c r="L478" s="30"/>
      <c r="M478" s="30"/>
      <c r="N478" s="29"/>
      <c r="O478" s="28"/>
      <c r="P478" s="29"/>
      <c r="Q478" s="29"/>
      <c r="R478" s="31"/>
    </row>
    <row r="479" spans="1:18" x14ac:dyDescent="0.3">
      <c r="A479" s="32"/>
      <c r="B479" s="33"/>
      <c r="C479" s="33"/>
      <c r="D479" s="33"/>
      <c r="E479" s="33"/>
      <c r="F479" s="33"/>
      <c r="G479" s="33"/>
      <c r="H479" s="33"/>
      <c r="I479" s="33"/>
      <c r="J479" s="33"/>
      <c r="K479" s="33"/>
      <c r="L479" s="34"/>
      <c r="M479" s="34"/>
      <c r="N479" s="33"/>
      <c r="O479" s="32"/>
      <c r="P479" s="33"/>
      <c r="Q479" s="33"/>
      <c r="R479" s="35"/>
    </row>
    <row r="480" spans="1:18" x14ac:dyDescent="0.3">
      <c r="A480" s="28"/>
      <c r="B480" s="29"/>
      <c r="C480" s="29"/>
      <c r="D480" s="29"/>
      <c r="E480" s="29"/>
      <c r="F480" s="29"/>
      <c r="G480" s="29"/>
      <c r="H480" s="29"/>
      <c r="I480" s="29"/>
      <c r="J480" s="29"/>
      <c r="K480" s="29"/>
      <c r="L480" s="30"/>
      <c r="M480" s="30"/>
      <c r="N480" s="29"/>
      <c r="O480" s="28"/>
      <c r="P480" s="29"/>
      <c r="Q480" s="29"/>
      <c r="R480" s="31"/>
    </row>
    <row r="481" spans="1:18" x14ac:dyDescent="0.3">
      <c r="A481" s="32"/>
      <c r="B481" s="33"/>
      <c r="C481" s="33"/>
      <c r="D481" s="33"/>
      <c r="E481" s="33"/>
      <c r="F481" s="33"/>
      <c r="G481" s="33"/>
      <c r="H481" s="33"/>
      <c r="I481" s="33"/>
      <c r="J481" s="33"/>
      <c r="K481" s="33"/>
      <c r="L481" s="34"/>
      <c r="M481" s="34"/>
      <c r="N481" s="33"/>
      <c r="O481" s="32"/>
      <c r="P481" s="33"/>
      <c r="Q481" s="33"/>
      <c r="R481" s="35"/>
    </row>
    <row r="482" spans="1:18" x14ac:dyDescent="0.3">
      <c r="A482" s="28"/>
      <c r="B482" s="29"/>
      <c r="C482" s="29"/>
      <c r="D482" s="29"/>
      <c r="E482" s="29"/>
      <c r="F482" s="29"/>
      <c r="G482" s="29"/>
      <c r="H482" s="29"/>
      <c r="I482" s="29"/>
      <c r="J482" s="29"/>
      <c r="K482" s="29"/>
      <c r="L482" s="30"/>
      <c r="M482" s="30"/>
      <c r="N482" s="29"/>
      <c r="O482" s="28"/>
      <c r="P482" s="29"/>
      <c r="Q482" s="29"/>
      <c r="R482" s="31"/>
    </row>
    <row r="483" spans="1:18" x14ac:dyDescent="0.3">
      <c r="A483" s="32"/>
      <c r="B483" s="33"/>
      <c r="C483" s="33"/>
      <c r="D483" s="33"/>
      <c r="E483" s="33"/>
      <c r="F483" s="33"/>
      <c r="G483" s="33"/>
      <c r="H483" s="33"/>
      <c r="I483" s="33"/>
      <c r="J483" s="33"/>
      <c r="K483" s="33"/>
      <c r="L483" s="34"/>
      <c r="M483" s="34"/>
      <c r="N483" s="33"/>
      <c r="O483" s="32"/>
      <c r="P483" s="33"/>
      <c r="Q483" s="33"/>
      <c r="R483" s="35"/>
    </row>
    <row r="484" spans="1:18" x14ac:dyDescent="0.3">
      <c r="A484" s="28"/>
      <c r="B484" s="29"/>
      <c r="C484" s="29"/>
      <c r="D484" s="29"/>
      <c r="E484" s="29"/>
      <c r="F484" s="29"/>
      <c r="G484" s="29"/>
      <c r="H484" s="29"/>
      <c r="I484" s="29"/>
      <c r="J484" s="29"/>
      <c r="K484" s="29"/>
      <c r="L484" s="30"/>
      <c r="M484" s="30"/>
      <c r="N484" s="29"/>
      <c r="O484" s="28"/>
      <c r="P484" s="29"/>
      <c r="Q484" s="29"/>
      <c r="R484" s="31"/>
    </row>
    <row r="485" spans="1:18" x14ac:dyDescent="0.3">
      <c r="A485" s="32"/>
      <c r="B485" s="33"/>
      <c r="C485" s="33"/>
      <c r="D485" s="33"/>
      <c r="E485" s="33"/>
      <c r="F485" s="33"/>
      <c r="G485" s="33"/>
      <c r="H485" s="33"/>
      <c r="I485" s="33"/>
      <c r="J485" s="33"/>
      <c r="K485" s="33"/>
      <c r="L485" s="34"/>
      <c r="M485" s="34"/>
      <c r="N485" s="33"/>
      <c r="O485" s="32"/>
      <c r="P485" s="33"/>
      <c r="Q485" s="33"/>
      <c r="R485" s="35"/>
    </row>
    <row r="486" spans="1:18" x14ac:dyDescent="0.3">
      <c r="A486" s="28"/>
      <c r="B486" s="29"/>
      <c r="C486" s="29"/>
      <c r="D486" s="29"/>
      <c r="E486" s="29"/>
      <c r="F486" s="29"/>
      <c r="G486" s="29"/>
      <c r="H486" s="29"/>
      <c r="I486" s="29"/>
      <c r="J486" s="29"/>
      <c r="K486" s="29"/>
      <c r="L486" s="30"/>
      <c r="M486" s="30"/>
      <c r="N486" s="29"/>
      <c r="O486" s="28"/>
      <c r="P486" s="29"/>
      <c r="Q486" s="29"/>
      <c r="R486" s="31"/>
    </row>
    <row r="487" spans="1:18" x14ac:dyDescent="0.3">
      <c r="A487" s="32"/>
      <c r="B487" s="33"/>
      <c r="C487" s="33"/>
      <c r="D487" s="33"/>
      <c r="E487" s="33"/>
      <c r="F487" s="33"/>
      <c r="G487" s="33"/>
      <c r="H487" s="33"/>
      <c r="I487" s="33"/>
      <c r="J487" s="33"/>
      <c r="K487" s="33"/>
      <c r="L487" s="34"/>
      <c r="M487" s="34"/>
      <c r="N487" s="33"/>
      <c r="O487" s="32"/>
      <c r="P487" s="33"/>
      <c r="Q487" s="33"/>
      <c r="R487" s="35"/>
    </row>
    <row r="488" spans="1:18" x14ac:dyDescent="0.3">
      <c r="A488" s="28"/>
      <c r="B488" s="29"/>
      <c r="C488" s="29"/>
      <c r="D488" s="29"/>
      <c r="E488" s="29"/>
      <c r="F488" s="29"/>
      <c r="G488" s="29"/>
      <c r="H488" s="29"/>
      <c r="I488" s="29"/>
      <c r="J488" s="29"/>
      <c r="K488" s="29"/>
      <c r="L488" s="30"/>
      <c r="M488" s="30"/>
      <c r="N488" s="29"/>
      <c r="O488" s="28"/>
      <c r="P488" s="29"/>
      <c r="Q488" s="29"/>
      <c r="R488" s="31"/>
    </row>
    <row r="489" spans="1:18" x14ac:dyDescent="0.3">
      <c r="A489" s="32"/>
      <c r="B489" s="33"/>
      <c r="C489" s="33"/>
      <c r="D489" s="33"/>
      <c r="E489" s="33"/>
      <c r="F489" s="33"/>
      <c r="G489" s="33"/>
      <c r="H489" s="33"/>
      <c r="I489" s="33"/>
      <c r="J489" s="33"/>
      <c r="K489" s="33"/>
      <c r="L489" s="34"/>
      <c r="M489" s="34"/>
      <c r="N489" s="33"/>
      <c r="O489" s="32"/>
      <c r="P489" s="33"/>
      <c r="Q489" s="33"/>
      <c r="R489" s="35"/>
    </row>
    <row r="490" spans="1:18" x14ac:dyDescent="0.3">
      <c r="A490" s="28"/>
      <c r="B490" s="29"/>
      <c r="C490" s="29"/>
      <c r="D490" s="29"/>
      <c r="E490" s="29"/>
      <c r="F490" s="29"/>
      <c r="G490" s="29"/>
      <c r="H490" s="29"/>
      <c r="I490" s="29"/>
      <c r="J490" s="29"/>
      <c r="K490" s="29"/>
      <c r="L490" s="30"/>
      <c r="M490" s="30"/>
      <c r="N490" s="29"/>
      <c r="O490" s="28"/>
      <c r="P490" s="29"/>
      <c r="Q490" s="29"/>
      <c r="R490" s="31"/>
    </row>
    <row r="491" spans="1:18" x14ac:dyDescent="0.3">
      <c r="A491" s="32"/>
      <c r="B491" s="33"/>
      <c r="C491" s="33"/>
      <c r="D491" s="33"/>
      <c r="E491" s="33"/>
      <c r="F491" s="33"/>
      <c r="G491" s="33"/>
      <c r="H491" s="33"/>
      <c r="I491" s="33"/>
      <c r="J491" s="33"/>
      <c r="K491" s="33"/>
      <c r="L491" s="34"/>
      <c r="M491" s="34"/>
      <c r="N491" s="33"/>
      <c r="O491" s="32"/>
      <c r="P491" s="33"/>
      <c r="Q491" s="33"/>
      <c r="R491" s="35"/>
    </row>
    <row r="492" spans="1:18" x14ac:dyDescent="0.3">
      <c r="A492" s="28"/>
      <c r="B492" s="29"/>
      <c r="C492" s="29"/>
      <c r="D492" s="29"/>
      <c r="E492" s="29"/>
      <c r="F492" s="29"/>
      <c r="G492" s="29"/>
      <c r="H492" s="29"/>
      <c r="I492" s="29"/>
      <c r="J492" s="29"/>
      <c r="K492" s="29"/>
      <c r="L492" s="30"/>
      <c r="M492" s="30"/>
      <c r="N492" s="29"/>
      <c r="O492" s="28"/>
      <c r="P492" s="29"/>
      <c r="Q492" s="29"/>
      <c r="R492" s="31"/>
    </row>
    <row r="493" spans="1:18" x14ac:dyDescent="0.3">
      <c r="A493" s="32"/>
      <c r="B493" s="33"/>
      <c r="C493" s="33"/>
      <c r="D493" s="33"/>
      <c r="E493" s="33"/>
      <c r="F493" s="33"/>
      <c r="G493" s="33"/>
      <c r="H493" s="33"/>
      <c r="I493" s="33"/>
      <c r="J493" s="33"/>
      <c r="K493" s="33"/>
      <c r="L493" s="34"/>
      <c r="M493" s="34"/>
      <c r="N493" s="33"/>
      <c r="O493" s="32"/>
      <c r="P493" s="33"/>
      <c r="Q493" s="33"/>
      <c r="R493" s="35"/>
    </row>
    <row r="494" spans="1:18" x14ac:dyDescent="0.3">
      <c r="A494" s="28"/>
      <c r="B494" s="29"/>
      <c r="C494" s="29"/>
      <c r="D494" s="29"/>
      <c r="E494" s="29"/>
      <c r="F494" s="29"/>
      <c r="G494" s="29"/>
      <c r="H494" s="29"/>
      <c r="I494" s="29"/>
      <c r="J494" s="29"/>
      <c r="K494" s="29"/>
      <c r="L494" s="30"/>
      <c r="M494" s="30"/>
      <c r="N494" s="29"/>
      <c r="O494" s="28"/>
      <c r="P494" s="29"/>
      <c r="Q494" s="29"/>
      <c r="R494" s="31"/>
    </row>
    <row r="495" spans="1:18" x14ac:dyDescent="0.3">
      <c r="A495" s="32"/>
      <c r="B495" s="33"/>
      <c r="C495" s="33"/>
      <c r="D495" s="33"/>
      <c r="E495" s="33"/>
      <c r="F495" s="33"/>
      <c r="G495" s="33"/>
      <c r="H495" s="33"/>
      <c r="I495" s="33"/>
      <c r="J495" s="33"/>
      <c r="K495" s="33"/>
      <c r="L495" s="34"/>
      <c r="M495" s="34"/>
      <c r="N495" s="33"/>
      <c r="O495" s="32"/>
      <c r="P495" s="33"/>
      <c r="Q495" s="33"/>
      <c r="R495" s="35"/>
    </row>
    <row r="496" spans="1:18" x14ac:dyDescent="0.3">
      <c r="A496" s="28"/>
      <c r="B496" s="29"/>
      <c r="C496" s="29"/>
      <c r="D496" s="29"/>
      <c r="E496" s="29"/>
      <c r="F496" s="29"/>
      <c r="G496" s="29"/>
      <c r="H496" s="29"/>
      <c r="I496" s="29"/>
      <c r="J496" s="29"/>
      <c r="K496" s="29"/>
      <c r="L496" s="30"/>
      <c r="M496" s="30"/>
      <c r="N496" s="29"/>
      <c r="O496" s="28"/>
      <c r="P496" s="29"/>
      <c r="Q496" s="29"/>
      <c r="R496" s="31"/>
    </row>
    <row r="497" spans="1:18" x14ac:dyDescent="0.3">
      <c r="A497" s="32"/>
      <c r="B497" s="33"/>
      <c r="C497" s="33"/>
      <c r="D497" s="33"/>
      <c r="E497" s="33"/>
      <c r="F497" s="33"/>
      <c r="G497" s="33"/>
      <c r="H497" s="33"/>
      <c r="I497" s="33"/>
      <c r="J497" s="33"/>
      <c r="K497" s="33"/>
      <c r="L497" s="34"/>
      <c r="M497" s="34"/>
      <c r="N497" s="33"/>
      <c r="O497" s="32"/>
      <c r="P497" s="33"/>
      <c r="Q497" s="33"/>
      <c r="R497" s="35"/>
    </row>
    <row r="498" spans="1:18" x14ac:dyDescent="0.3">
      <c r="A498" s="28"/>
      <c r="B498" s="29"/>
      <c r="C498" s="29"/>
      <c r="D498" s="29"/>
      <c r="E498" s="29"/>
      <c r="F498" s="29"/>
      <c r="G498" s="29"/>
      <c r="H498" s="29"/>
      <c r="I498" s="29"/>
      <c r="J498" s="29"/>
      <c r="K498" s="29"/>
      <c r="L498" s="30"/>
      <c r="M498" s="30"/>
      <c r="N498" s="29"/>
      <c r="O498" s="28"/>
      <c r="P498" s="29"/>
      <c r="Q498" s="29"/>
      <c r="R498" s="31"/>
    </row>
    <row r="499" spans="1:18" x14ac:dyDescent="0.3">
      <c r="A499" s="32"/>
      <c r="B499" s="33"/>
      <c r="C499" s="33"/>
      <c r="D499" s="33"/>
      <c r="E499" s="33"/>
      <c r="F499" s="33"/>
      <c r="G499" s="33"/>
      <c r="H499" s="33"/>
      <c r="I499" s="33"/>
      <c r="J499" s="33"/>
      <c r="K499" s="33"/>
      <c r="L499" s="34"/>
      <c r="M499" s="34"/>
      <c r="N499" s="33"/>
      <c r="O499" s="32"/>
      <c r="P499" s="33"/>
      <c r="Q499" s="33"/>
      <c r="R499" s="35"/>
    </row>
    <row r="500" spans="1:18" x14ac:dyDescent="0.3">
      <c r="A500" s="28"/>
      <c r="B500" s="29"/>
      <c r="C500" s="29"/>
      <c r="D500" s="29"/>
      <c r="E500" s="29"/>
      <c r="F500" s="29"/>
      <c r="G500" s="29"/>
      <c r="H500" s="29"/>
      <c r="I500" s="29"/>
      <c r="J500" s="29"/>
      <c r="K500" s="29"/>
      <c r="L500" s="30"/>
      <c r="M500" s="30"/>
      <c r="N500" s="29"/>
      <c r="O500" s="28"/>
      <c r="P500" s="29"/>
      <c r="Q500" s="29"/>
      <c r="R500" s="31"/>
    </row>
    <row r="501" spans="1:18" x14ac:dyDescent="0.3">
      <c r="A501" s="32"/>
      <c r="B501" s="33"/>
      <c r="C501" s="33"/>
      <c r="D501" s="33"/>
      <c r="E501" s="33"/>
      <c r="F501" s="33"/>
      <c r="G501" s="33"/>
      <c r="H501" s="33"/>
      <c r="I501" s="33"/>
      <c r="J501" s="33"/>
      <c r="K501" s="33"/>
      <c r="L501" s="34"/>
      <c r="M501" s="34"/>
      <c r="N501" s="33"/>
      <c r="O501" s="32"/>
      <c r="P501" s="33"/>
      <c r="Q501" s="33"/>
      <c r="R501" s="35"/>
    </row>
    <row r="502" spans="1:18" x14ac:dyDescent="0.3">
      <c r="A502" s="28"/>
      <c r="B502" s="29"/>
      <c r="C502" s="29"/>
      <c r="D502" s="29"/>
      <c r="E502" s="29"/>
      <c r="F502" s="29"/>
      <c r="G502" s="29"/>
      <c r="H502" s="29"/>
      <c r="I502" s="29"/>
      <c r="J502" s="29"/>
      <c r="K502" s="29"/>
      <c r="L502" s="30"/>
      <c r="M502" s="30"/>
      <c r="N502" s="29"/>
      <c r="O502" s="28"/>
      <c r="P502" s="29"/>
      <c r="Q502" s="29"/>
      <c r="R502" s="31"/>
    </row>
    <row r="503" spans="1:18" x14ac:dyDescent="0.3">
      <c r="A503" s="32"/>
      <c r="B503" s="33"/>
      <c r="C503" s="33"/>
      <c r="D503" s="33"/>
      <c r="E503" s="33"/>
      <c r="F503" s="33"/>
      <c r="G503" s="33"/>
      <c r="H503" s="33"/>
      <c r="I503" s="33"/>
      <c r="J503" s="33"/>
      <c r="K503" s="33"/>
      <c r="L503" s="34"/>
      <c r="M503" s="34"/>
      <c r="N503" s="33"/>
      <c r="O503" s="32"/>
      <c r="P503" s="33"/>
      <c r="Q503" s="33"/>
      <c r="R503" s="35"/>
    </row>
    <row r="504" spans="1:18" x14ac:dyDescent="0.3">
      <c r="A504" s="28"/>
      <c r="B504" s="29"/>
      <c r="C504" s="29"/>
      <c r="D504" s="29"/>
      <c r="E504" s="29"/>
      <c r="F504" s="29"/>
      <c r="G504" s="29"/>
      <c r="H504" s="29"/>
      <c r="I504" s="29"/>
      <c r="J504" s="29"/>
      <c r="K504" s="29"/>
      <c r="L504" s="30"/>
      <c r="M504" s="30"/>
      <c r="N504" s="29"/>
      <c r="O504" s="28"/>
      <c r="P504" s="29"/>
      <c r="Q504" s="29"/>
      <c r="R504" s="31"/>
    </row>
    <row r="505" spans="1:18" x14ac:dyDescent="0.3">
      <c r="A505" s="32"/>
      <c r="B505" s="33"/>
      <c r="C505" s="33"/>
      <c r="D505" s="33"/>
      <c r="E505" s="33"/>
      <c r="F505" s="33"/>
      <c r="G505" s="33"/>
      <c r="H505" s="33"/>
      <c r="I505" s="33"/>
      <c r="J505" s="33"/>
      <c r="K505" s="33"/>
      <c r="L505" s="34"/>
      <c r="M505" s="34"/>
      <c r="N505" s="33"/>
      <c r="O505" s="32"/>
      <c r="P505" s="33"/>
      <c r="Q505" s="33"/>
      <c r="R505" s="35"/>
    </row>
    <row r="506" spans="1:18" x14ac:dyDescent="0.3">
      <c r="A506" s="28"/>
      <c r="B506" s="29"/>
      <c r="C506" s="29"/>
      <c r="D506" s="29"/>
      <c r="E506" s="29"/>
      <c r="F506" s="29"/>
      <c r="G506" s="29"/>
      <c r="H506" s="29"/>
      <c r="I506" s="29"/>
      <c r="J506" s="29"/>
      <c r="K506" s="29"/>
      <c r="L506" s="30"/>
      <c r="M506" s="30"/>
      <c r="N506" s="29"/>
      <c r="O506" s="28"/>
      <c r="P506" s="29"/>
      <c r="Q506" s="29"/>
      <c r="R506" s="31"/>
    </row>
    <row r="507" spans="1:18" x14ac:dyDescent="0.3">
      <c r="A507" s="32"/>
      <c r="B507" s="33"/>
      <c r="C507" s="33"/>
      <c r="D507" s="33"/>
      <c r="E507" s="33"/>
      <c r="F507" s="33"/>
      <c r="G507" s="33"/>
      <c r="H507" s="33"/>
      <c r="I507" s="33"/>
      <c r="J507" s="33"/>
      <c r="K507" s="33"/>
      <c r="L507" s="34"/>
      <c r="M507" s="34"/>
      <c r="N507" s="33"/>
      <c r="O507" s="32"/>
      <c r="P507" s="33"/>
      <c r="Q507" s="33"/>
      <c r="R507" s="35"/>
    </row>
    <row r="508" spans="1:18" x14ac:dyDescent="0.3">
      <c r="A508" s="28"/>
      <c r="B508" s="29"/>
      <c r="C508" s="29"/>
      <c r="D508" s="29"/>
      <c r="E508" s="29"/>
      <c r="F508" s="29"/>
      <c r="G508" s="29"/>
      <c r="H508" s="29"/>
      <c r="I508" s="29"/>
      <c r="J508" s="29"/>
      <c r="K508" s="29"/>
      <c r="L508" s="30"/>
      <c r="M508" s="30"/>
      <c r="N508" s="29"/>
      <c r="O508" s="28"/>
      <c r="P508" s="29"/>
      <c r="Q508" s="29"/>
      <c r="R508" s="31"/>
    </row>
    <row r="509" spans="1:18" x14ac:dyDescent="0.3">
      <c r="A509" s="32"/>
      <c r="B509" s="33"/>
      <c r="C509" s="33"/>
      <c r="D509" s="33"/>
      <c r="E509" s="33"/>
      <c r="F509" s="33"/>
      <c r="G509" s="33"/>
      <c r="H509" s="33"/>
      <c r="I509" s="33"/>
      <c r="J509" s="33"/>
      <c r="K509" s="33"/>
      <c r="L509" s="34"/>
      <c r="M509" s="34"/>
      <c r="N509" s="33"/>
      <c r="O509" s="32"/>
      <c r="P509" s="33"/>
      <c r="Q509" s="33"/>
      <c r="R509" s="35"/>
    </row>
  </sheetData>
  <mergeCells count="2">
    <mergeCell ref="A1:R1"/>
    <mergeCell ref="A2:R2"/>
  </mergeCells>
  <conditionalFormatting sqref="P10:P509">
    <cfRule type="expression" dxfId="15" priority="2">
      <formula>$P10="Won"</formula>
    </cfRule>
    <cfRule type="expression" dxfId="14" priority="3">
      <formula>$P10="Lost"</formula>
    </cfRule>
    <cfRule type="expression" dxfId="13" priority="4">
      <formula>$P10="In Progress"</formula>
    </cfRule>
    <cfRule type="expression" dxfId="12" priority="5">
      <formula>$P10="Open"</formula>
    </cfRule>
    <cfRule type="expression" dxfId="11" priority="6">
      <formula>$P10="Closed"</formula>
    </cfRule>
    <cfRule type="expression" dxfId="10" priority="7">
      <formula>$P10="On Hold"</formula>
    </cfRule>
  </conditionalFormatting>
  <conditionalFormatting sqref="Q10:Q509">
    <cfRule type="expression" dxfId="9" priority="8">
      <formula>$Q10="High"</formula>
    </cfRule>
    <cfRule type="expression" dxfId="8" priority="9">
      <formula>$Q10="Medium"</formula>
    </cfRule>
    <cfRule type="expression" dxfId="7" priority="10">
      <formula>$Q10="Low"</formula>
    </cfRule>
  </conditionalFormatting>
  <conditionalFormatting sqref="O10:O509">
    <cfRule type="expression" dxfId="6" priority="11">
      <formula>AND($O10&lt;TODAY(),$O10&lt;&gt;"",$P10&lt;&gt;"Won",$P10&lt;&gt;"Lost",$P10&lt;&gt;"Closed")</formula>
    </cfRule>
  </conditionalFormatting>
  <dataValidations count="6">
    <dataValidation type="list" allowBlank="1" errorTitle="Invalid entry" error="Pick a value from the dropdown." promptTitle="Pick from list" prompt="Click the arrow to pick a value." sqref="B10:B509">
      <formula1>"Accra Main,Tema,Kumasi,Obuasi,Takoradi,Tarkwa,Cape Coast,Koforidua,Sunyani,Techiman,Tamale,Ho,Wa"</formula1>
      <formula2>0</formula2>
    </dataValidation>
    <dataValidation type="list" allowBlank="1" errorTitle="Invalid entry" error="Pick a value from the dropdown." promptTitle="Pick from list" prompt="Click the arrow to pick a value." sqref="E10:E509">
      <formula1>"Diocese HQ,Circuit,Society/Church,Health Facility,School/Educational,Other Methodist Institution"</formula1>
      <formula2>0</formula2>
    </dataValidation>
    <dataValidation type="list" allowBlank="1" errorTitle="Invalid entry" error="Pick a value from the dropdown." promptTitle="Pick from list" prompt="Click the arrow to pick a value." sqref="G10:G509">
      <formula1>"Courtesy Visit,Formal Meeting,Presentation,Quotation Discussion,Renewal Visit,Claims Visit,Training/Workshop,Synod Event,Diocesan Event,Society Visit,Cold Call,Phone Follow-up,Email Follow-up,Cross-sell Visit,Service Recovery"</formula1>
      <formula2>0</formula2>
    </dataValidation>
    <dataValidation type="list" allowBlank="1" errorTitle="Invalid entry" error="Pick a value from the dropdown." promptTitle="Pick from list" prompt="Click the arrow to pick a value." sqref="K10:K509">
      <formula1>"Prospect Identified,Information Gathered,Quotation Requested,Quotation Sent,Proposal Under Review,Won — Policy Issued,Lost — Price,Lost — Competitor,Lost — No Decision,Follow-up Required,Closed — No Interest"</formula1>
      <formula2>0</formula2>
    </dataValidation>
    <dataValidation type="list" allowBlank="1" errorTitle="Invalid entry" error="Pick a value from the dropdown." promptTitle="Pick from list" prompt="Click the arrow to pick a value." sqref="P10:P509">
      <formula1>"Open,In Progress,Won,Lost,Closed,On Hold"</formula1>
      <formula2>0</formula2>
    </dataValidation>
    <dataValidation type="list" allowBlank="1" errorTitle="Invalid entry" error="Pick a value from the dropdown." promptTitle="Pick from list" prompt="Click the arrow to pick a value." sqref="Q10:Q509">
      <formula1>"High,Medium,Low"</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14:formula1>
            <xm:f>Lookups!$A$2:$A$100</xm:f>
          </x14:formula1>
          <x14:formula2>
            <xm:f>0</xm:f>
          </x14:formula2>
          <xm:sqref>D10:D509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0"/>
  <sheetViews>
    <sheetView showGridLines="0" tabSelected="1" zoomScaleNormal="100" workbookViewId="0">
      <pane ySplit="3" topLeftCell="A4" activePane="bottomLeft" state="frozen"/>
      <selection pane="bottomLeft" sqref="A1:R1"/>
    </sheetView>
  </sheetViews>
  <sheetFormatPr defaultColWidth="8.6640625" defaultRowHeight="14.4" x14ac:dyDescent="0.3"/>
  <cols>
    <col min="1" max="1" width="36" customWidth="1"/>
    <col min="2" max="12" width="14" customWidth="1"/>
  </cols>
  <sheetData>
    <row r="1" spans="1:18" ht="31.5" customHeight="1" x14ac:dyDescent="0.3">
      <c r="A1" s="12" t="s">
        <v>76</v>
      </c>
      <c r="B1" s="12"/>
      <c r="C1" s="12"/>
      <c r="D1" s="12"/>
      <c r="E1" s="12"/>
      <c r="F1" s="12"/>
      <c r="G1" s="12"/>
      <c r="H1" s="12"/>
      <c r="I1" s="12"/>
      <c r="J1" s="12"/>
      <c r="K1" s="12"/>
      <c r="L1" s="12"/>
      <c r="M1" s="12"/>
      <c r="N1" s="12"/>
      <c r="O1" s="12"/>
      <c r="P1" s="12"/>
      <c r="Q1" s="12"/>
      <c r="R1" s="12"/>
    </row>
    <row r="2" spans="1:18" ht="21.75" customHeight="1" x14ac:dyDescent="0.3">
      <c r="A2" s="11" t="s">
        <v>77</v>
      </c>
      <c r="B2" s="11"/>
      <c r="C2" s="11"/>
      <c r="D2" s="11"/>
      <c r="E2" s="11"/>
      <c r="F2" s="11"/>
      <c r="G2" s="11"/>
      <c r="H2" s="11"/>
      <c r="I2" s="11"/>
      <c r="J2" s="11"/>
      <c r="K2" s="11"/>
      <c r="L2" s="11"/>
      <c r="M2" s="11"/>
      <c r="N2" s="11"/>
      <c r="O2" s="11"/>
      <c r="P2" s="11"/>
      <c r="Q2" s="11"/>
      <c r="R2" s="11"/>
    </row>
    <row r="4" spans="1:18" ht="21.75" customHeight="1" x14ac:dyDescent="0.3">
      <c r="A4" s="9" t="s">
        <v>78</v>
      </c>
      <c r="B4" s="9"/>
      <c r="C4" s="9"/>
      <c r="D4" s="8" t="s">
        <v>79</v>
      </c>
      <c r="E4" s="8"/>
      <c r="F4" s="8"/>
      <c r="G4" s="7" t="s">
        <v>80</v>
      </c>
      <c r="H4" s="7"/>
      <c r="I4" s="7"/>
      <c r="J4" s="6" t="s">
        <v>81</v>
      </c>
      <c r="K4" s="6"/>
      <c r="L4" s="6"/>
      <c r="M4" s="5" t="s">
        <v>82</v>
      </c>
      <c r="N4" s="5"/>
      <c r="O4" s="5"/>
      <c r="P4" s="9" t="s">
        <v>83</v>
      </c>
      <c r="Q4" s="9"/>
      <c r="R4" s="9"/>
    </row>
    <row r="5" spans="1:18" ht="27.75" customHeight="1" x14ac:dyDescent="0.3">
      <c r="A5" s="4">
        <f ca="1">COUNTIFS('Engagement Log'!A10:A509,"&gt;="&amp;DATE(YEAR(TODAY()),1,1))</f>
        <v>3</v>
      </c>
      <c r="B5" s="4"/>
      <c r="C5" s="4"/>
      <c r="D5" s="3">
        <f>SUMIFS('Engagement Log'!L10:L509,'Engagement Log'!P10:P509,"&lt;&gt;Lost",'Engagement Log'!P10:P509,"&lt;&gt;Closed",'Engagement Log'!P10:P509,"&lt;&gt;Won")</f>
        <v>180000</v>
      </c>
      <c r="E5" s="3"/>
      <c r="F5" s="3"/>
      <c r="G5" s="3">
        <f ca="1">SUMIFS('Engagement Log'!M10:M509,'Engagement Log'!P10:P509,"Won",'Engagement Log'!A10:A509,"&gt;="&amp;DATE(YEAR(TODAY()),1,1))</f>
        <v>320000</v>
      </c>
      <c r="H5" s="3"/>
      <c r="I5" s="3"/>
      <c r="J5" s="2">
        <f>IFERROR(COUNTIF('Engagement Log'!P10:P509,"Won")/(COUNTIF('Engagement Log'!P10:P509,"Won")+COUNTIF('Engagement Log'!P10:P509,"Lost")),0)</f>
        <v>1</v>
      </c>
      <c r="K5" s="2"/>
      <c r="L5" s="2"/>
      <c r="M5" s="4">
        <f ca="1">SUMPRODUCT(('Engagement Log'!O10:O509&lt;TODAY())*('Engagement Log'!O10:O509&lt;&gt;"")*('Engagement Log'!P10:P509&lt;&gt;"Won")*('Engagement Log'!P10:P509&lt;&gt;"Lost")*('Engagement Log'!P10:P509&lt;&gt;"Closed"))</f>
        <v>0</v>
      </c>
      <c r="N5" s="4"/>
      <c r="O5" s="4"/>
      <c r="P5" s="4">
        <f>SUMPRODUCT((COUNTIF('Engagement Log'!B10:B509,'Branches &amp; Managers'!A4:A16)&gt;0)*1)</f>
        <v>3</v>
      </c>
      <c r="Q5" s="4"/>
      <c r="R5" s="4"/>
    </row>
    <row r="6" spans="1:18" ht="27.75" customHeight="1" x14ac:dyDescent="0.3">
      <c r="A6" s="4"/>
      <c r="B6" s="4"/>
      <c r="C6" s="4"/>
      <c r="D6" s="3"/>
      <c r="E6" s="3"/>
      <c r="F6" s="3"/>
      <c r="G6" s="3"/>
      <c r="H6" s="3"/>
      <c r="I6" s="3"/>
      <c r="J6" s="2"/>
      <c r="K6" s="2"/>
      <c r="L6" s="2"/>
      <c r="M6" s="4"/>
      <c r="N6" s="4"/>
      <c r="O6" s="4"/>
      <c r="P6" s="4"/>
      <c r="Q6" s="4"/>
      <c r="R6" s="4"/>
    </row>
    <row r="7" spans="1:18" ht="18" customHeight="1" x14ac:dyDescent="0.3">
      <c r="A7" s="1" t="str">
        <f ca="1">"vs "&amp;YEAR(TODAY())&amp;" Target: "&amp;TEXT(CHOOSE(MIN(MAX(YEAR(TODAY())-2025,1),3),$B$11,$C$11,$D$11),"#,##0")</f>
        <v>vs 2026 Target: 312</v>
      </c>
      <c r="B7" s="1"/>
      <c r="C7" s="1"/>
      <c r="D7" s="1" t="str">
        <f>"Open opportunities (GHS)"</f>
        <v>Open opportunities (GHS)</v>
      </c>
      <c r="E7" s="1"/>
      <c r="F7" s="1"/>
      <c r="G7" s="1" t="str">
        <f>"Conversions this year"</f>
        <v>Conversions this year</v>
      </c>
      <c r="H7" s="1"/>
      <c r="I7" s="1"/>
      <c r="J7" s="1" t="str">
        <f>"Won ÷ (Won+Lost)"</f>
        <v>Won ÷ (Won+Lost)</v>
      </c>
      <c r="K7" s="1"/>
      <c r="L7" s="1"/>
      <c r="M7" s="1" t="str">
        <f>"Need immediate attention"</f>
        <v>Need immediate attention</v>
      </c>
      <c r="N7" s="1"/>
      <c r="O7" s="1"/>
      <c r="P7" s="1" t="str">
        <f>"Out of 13 total"</f>
        <v>Out of 13 total</v>
      </c>
      <c r="Q7" s="1"/>
      <c r="R7" s="1"/>
    </row>
    <row r="9" spans="1:18" ht="24" customHeight="1" x14ac:dyDescent="0.3">
      <c r="A9" s="10" t="s">
        <v>84</v>
      </c>
      <c r="B9" s="10"/>
      <c r="C9" s="10"/>
      <c r="D9" s="10"/>
      <c r="E9" s="10"/>
      <c r="F9" s="10"/>
      <c r="G9" s="10"/>
      <c r="H9" s="10"/>
      <c r="I9" s="10"/>
      <c r="J9" s="10"/>
      <c r="K9" s="10"/>
      <c r="L9" s="10"/>
    </row>
    <row r="10" spans="1:18" x14ac:dyDescent="0.3">
      <c r="A10" s="36"/>
      <c r="B10" s="36" t="s">
        <v>85</v>
      </c>
      <c r="C10" s="36" t="s">
        <v>86</v>
      </c>
      <c r="D10" s="36" t="s">
        <v>87</v>
      </c>
    </row>
    <row r="11" spans="1:18" x14ac:dyDescent="0.3">
      <c r="A11" s="37" t="s">
        <v>88</v>
      </c>
      <c r="B11" s="38">
        <v>312</v>
      </c>
      <c r="C11" s="38">
        <v>416</v>
      </c>
      <c r="D11" s="38">
        <v>520</v>
      </c>
    </row>
    <row r="12" spans="1:18" x14ac:dyDescent="0.3">
      <c r="A12" s="37" t="s">
        <v>89</v>
      </c>
      <c r="B12" s="38">
        <v>18</v>
      </c>
      <c r="C12" s="38">
        <v>24</v>
      </c>
      <c r="D12" s="38">
        <v>30</v>
      </c>
    </row>
    <row r="13" spans="1:18" x14ac:dyDescent="0.3">
      <c r="A13" s="37" t="s">
        <v>90</v>
      </c>
      <c r="B13" s="38">
        <v>60</v>
      </c>
      <c r="C13" s="38">
        <v>100</v>
      </c>
      <c r="D13" s="38">
        <v>150</v>
      </c>
    </row>
    <row r="14" spans="1:18" x14ac:dyDescent="0.3">
      <c r="A14" s="37" t="s">
        <v>91</v>
      </c>
      <c r="B14" s="39">
        <v>2000000</v>
      </c>
      <c r="C14" s="39">
        <v>5000000</v>
      </c>
      <c r="D14" s="39">
        <v>9000000</v>
      </c>
    </row>
    <row r="16" spans="1:18" ht="24" customHeight="1" x14ac:dyDescent="0.3">
      <c r="A16" s="10" t="s">
        <v>92</v>
      </c>
      <c r="B16" s="10"/>
      <c r="C16" s="10"/>
      <c r="D16" s="10"/>
      <c r="E16" s="10"/>
      <c r="F16" s="10"/>
      <c r="G16" s="10"/>
      <c r="H16" s="10"/>
      <c r="I16" s="10"/>
      <c r="J16" s="10"/>
      <c r="K16" s="10"/>
      <c r="L16" s="10"/>
    </row>
    <row r="17" spans="1:10" ht="31.5" customHeight="1" x14ac:dyDescent="0.3">
      <c r="A17" s="27" t="s">
        <v>27</v>
      </c>
      <c r="B17" s="27" t="s">
        <v>93</v>
      </c>
      <c r="C17" s="27" t="s">
        <v>20</v>
      </c>
      <c r="D17" s="27" t="s">
        <v>94</v>
      </c>
      <c r="E17" s="27" t="s">
        <v>95</v>
      </c>
      <c r="F17" s="27" t="s">
        <v>23</v>
      </c>
      <c r="G17" s="27" t="s">
        <v>96</v>
      </c>
      <c r="H17" s="27" t="s">
        <v>22</v>
      </c>
      <c r="I17" s="27" t="s">
        <v>97</v>
      </c>
      <c r="J17" s="27" t="s">
        <v>98</v>
      </c>
    </row>
    <row r="18" spans="1:10" x14ac:dyDescent="0.3">
      <c r="A18" s="40" t="s">
        <v>42</v>
      </c>
      <c r="B18" s="41">
        <f>COUNTIF('Engagement Log'!B10:B509,$A18)</f>
        <v>1</v>
      </c>
      <c r="C18" s="41">
        <f>COUNTIFS('Engagement Log'!B10:B509,$A18,'Engagement Log'!P10:P509,"Won")</f>
        <v>1</v>
      </c>
      <c r="D18" s="41">
        <f>COUNTIFS('Engagement Log'!B10:B509,$A18,'Engagement Log'!P10:P509,"Lost")</f>
        <v>0</v>
      </c>
      <c r="E18" s="41">
        <f>COUNTIFS('Engagement Log'!B10:B509,$A18,'Engagement Log'!P10:P509,"Open")+COUNTIFS('Engagement Log'!B10:B509,$A18,'Engagement Log'!P10:P509,"In Progress")</f>
        <v>0</v>
      </c>
      <c r="F18" s="42">
        <f t="shared" ref="F18:F31" si="0">IFERROR(C18/(C18+D18),0)</f>
        <v>1</v>
      </c>
      <c r="G18" s="43">
        <f>SUMIFS('Engagement Log'!L10:L509,'Engagement Log'!B10:B509,$A18,'Engagement Log'!P10:P509,"&lt;&gt;Won",'Engagement Log'!P10:P509,"&lt;&gt;Lost",'Engagement Log'!P10:P509,"&lt;&gt;Closed")</f>
        <v>0</v>
      </c>
      <c r="H18" s="43">
        <f>SUMIFS('Engagement Log'!M10:M509,'Engagement Log'!B10:B509,$A18,'Engagement Log'!P10:P509,"Won")</f>
        <v>0</v>
      </c>
      <c r="I18" s="44" t="str">
        <f ca="1">IFERROR(maxifs('Engagement Log'!A10:A509,'Engagement Log'!B10:B509,$A18),"")</f>
        <v/>
      </c>
      <c r="J18" s="41" t="str">
        <f t="shared" ref="J18:J30" ca="1" si="1">IFERROR(TODAY()-I18,"")</f>
        <v/>
      </c>
    </row>
    <row r="19" spans="1:10" x14ac:dyDescent="0.3">
      <c r="A19" s="45" t="s">
        <v>99</v>
      </c>
      <c r="B19" s="46">
        <f>COUNTIF('Engagement Log'!B10:B509,$A19)</f>
        <v>0</v>
      </c>
      <c r="C19" s="46">
        <f>COUNTIFS('Engagement Log'!B10:B509,$A19,'Engagement Log'!P10:P509,"Won")</f>
        <v>0</v>
      </c>
      <c r="D19" s="46">
        <f>COUNTIFS('Engagement Log'!B10:B509,$A19,'Engagement Log'!P10:P509,"Lost")</f>
        <v>0</v>
      </c>
      <c r="E19" s="46">
        <f>COUNTIFS('Engagement Log'!B10:B509,$A19,'Engagement Log'!P10:P509,"Open")+COUNTIFS('Engagement Log'!B10:B509,$A19,'Engagement Log'!P10:P509,"In Progress")</f>
        <v>0</v>
      </c>
      <c r="F19" s="47">
        <f t="shared" si="0"/>
        <v>0</v>
      </c>
      <c r="G19" s="48">
        <f>SUMIFS('Engagement Log'!L10:L509,'Engagement Log'!B10:B509,$A19,'Engagement Log'!P10:P509,"&lt;&gt;Won",'Engagement Log'!P10:P509,"&lt;&gt;Lost",'Engagement Log'!P10:P509,"&lt;&gt;Closed")</f>
        <v>0</v>
      </c>
      <c r="H19" s="48">
        <f>SUMIFS('Engagement Log'!M10:M509,'Engagement Log'!B10:B509,$A19,'Engagement Log'!P10:P509,"Won")</f>
        <v>0</v>
      </c>
      <c r="I19" s="49" t="str">
        <f ca="1">IFERROR(maxifs('Engagement Log'!A10:A509,'Engagement Log'!B10:B509,$A19),"")</f>
        <v/>
      </c>
      <c r="J19" s="46" t="str">
        <f t="shared" ca="1" si="1"/>
        <v/>
      </c>
    </row>
    <row r="20" spans="1:10" x14ac:dyDescent="0.3">
      <c r="A20" s="40" t="s">
        <v>55</v>
      </c>
      <c r="B20" s="41">
        <f>COUNTIF('Engagement Log'!B10:B509,$A20)</f>
        <v>1</v>
      </c>
      <c r="C20" s="41">
        <f>COUNTIFS('Engagement Log'!B10:B509,$A20,'Engagement Log'!P10:P509,"Won")</f>
        <v>0</v>
      </c>
      <c r="D20" s="41">
        <f>COUNTIFS('Engagement Log'!B10:B509,$A20,'Engagement Log'!P10:P509,"Lost")</f>
        <v>0</v>
      </c>
      <c r="E20" s="41">
        <f>COUNTIFS('Engagement Log'!B10:B509,$A20,'Engagement Log'!P10:P509,"Open")+COUNTIFS('Engagement Log'!B10:B509,$A20,'Engagement Log'!P10:P509,"In Progress")</f>
        <v>1</v>
      </c>
      <c r="F20" s="42">
        <f t="shared" si="0"/>
        <v>0</v>
      </c>
      <c r="G20" s="43">
        <f>SUMIFS('Engagement Log'!L10:L509,'Engagement Log'!B10:B509,$A20,'Engagement Log'!P10:P509,"&lt;&gt;Won",'Engagement Log'!P10:P509,"&lt;&gt;Lost",'Engagement Log'!P10:P509,"&lt;&gt;Closed")</f>
        <v>180000</v>
      </c>
      <c r="H20" s="43">
        <f>SUMIFS('Engagement Log'!M10:M509,'Engagement Log'!B10:B509,$A20,'Engagement Log'!P10:P509,"Won")</f>
        <v>0</v>
      </c>
      <c r="I20" s="44" t="str">
        <f ca="1">IFERROR(maxifs('Engagement Log'!A10:A509,'Engagement Log'!B10:B509,$A20),"")</f>
        <v/>
      </c>
      <c r="J20" s="41" t="str">
        <f t="shared" ca="1" si="1"/>
        <v/>
      </c>
    </row>
    <row r="21" spans="1:10" x14ac:dyDescent="0.3">
      <c r="A21" s="45" t="s">
        <v>100</v>
      </c>
      <c r="B21" s="46">
        <f>COUNTIF('Engagement Log'!B10:B509,$A21)</f>
        <v>0</v>
      </c>
      <c r="C21" s="46">
        <f>COUNTIFS('Engagement Log'!B10:B509,$A21,'Engagement Log'!P10:P509,"Won")</f>
        <v>0</v>
      </c>
      <c r="D21" s="46">
        <f>COUNTIFS('Engagement Log'!B10:B509,$A21,'Engagement Log'!P10:P509,"Lost")</f>
        <v>0</v>
      </c>
      <c r="E21" s="46">
        <f>COUNTIFS('Engagement Log'!B10:B509,$A21,'Engagement Log'!P10:P509,"Open")+COUNTIFS('Engagement Log'!B10:B509,$A21,'Engagement Log'!P10:P509,"In Progress")</f>
        <v>0</v>
      </c>
      <c r="F21" s="47">
        <f t="shared" si="0"/>
        <v>0</v>
      </c>
      <c r="G21" s="48">
        <f>SUMIFS('Engagement Log'!L10:L509,'Engagement Log'!B10:B509,$A21,'Engagement Log'!P10:P509,"&lt;&gt;Won",'Engagement Log'!P10:P509,"&lt;&gt;Lost",'Engagement Log'!P10:P509,"&lt;&gt;Closed")</f>
        <v>0</v>
      </c>
      <c r="H21" s="48">
        <f>SUMIFS('Engagement Log'!M10:M509,'Engagement Log'!B10:B509,$A21,'Engagement Log'!P10:P509,"Won")</f>
        <v>0</v>
      </c>
      <c r="I21" s="49" t="str">
        <f ca="1">IFERROR(maxifs('Engagement Log'!A10:A509,'Engagement Log'!B10:B509,$A21),"")</f>
        <v/>
      </c>
      <c r="J21" s="46" t="str">
        <f t="shared" ca="1" si="1"/>
        <v/>
      </c>
    </row>
    <row r="22" spans="1:10" x14ac:dyDescent="0.3">
      <c r="A22" s="40" t="s">
        <v>101</v>
      </c>
      <c r="B22" s="41">
        <f>COUNTIF('Engagement Log'!B10:B509,$A22)</f>
        <v>0</v>
      </c>
      <c r="C22" s="41">
        <f>COUNTIFS('Engagement Log'!B10:B509,$A22,'Engagement Log'!P10:P509,"Won")</f>
        <v>0</v>
      </c>
      <c r="D22" s="41">
        <f>COUNTIFS('Engagement Log'!B10:B509,$A22,'Engagement Log'!P10:P509,"Lost")</f>
        <v>0</v>
      </c>
      <c r="E22" s="41">
        <f>COUNTIFS('Engagement Log'!B10:B509,$A22,'Engagement Log'!P10:P509,"Open")+COUNTIFS('Engagement Log'!B10:B509,$A22,'Engagement Log'!P10:P509,"In Progress")</f>
        <v>0</v>
      </c>
      <c r="F22" s="42">
        <f t="shared" si="0"/>
        <v>0</v>
      </c>
      <c r="G22" s="43">
        <f>SUMIFS('Engagement Log'!L10:L509,'Engagement Log'!B10:B509,$A22,'Engagement Log'!P10:P509,"&lt;&gt;Won",'Engagement Log'!P10:P509,"&lt;&gt;Lost",'Engagement Log'!P10:P509,"&lt;&gt;Closed")</f>
        <v>0</v>
      </c>
      <c r="H22" s="43">
        <f>SUMIFS('Engagement Log'!M10:M509,'Engagement Log'!B10:B509,$A22,'Engagement Log'!P10:P509,"Won")</f>
        <v>0</v>
      </c>
      <c r="I22" s="44" t="str">
        <f ca="1">IFERROR(maxifs('Engagement Log'!A10:A509,'Engagement Log'!B10:B509,$A22),"")</f>
        <v/>
      </c>
      <c r="J22" s="41" t="str">
        <f t="shared" ca="1" si="1"/>
        <v/>
      </c>
    </row>
    <row r="23" spans="1:10" x14ac:dyDescent="0.3">
      <c r="A23" s="45" t="s">
        <v>102</v>
      </c>
      <c r="B23" s="46">
        <f>COUNTIF('Engagement Log'!B10:B509,$A23)</f>
        <v>0</v>
      </c>
      <c r="C23" s="46">
        <f>COUNTIFS('Engagement Log'!B10:B509,$A23,'Engagement Log'!P10:P509,"Won")</f>
        <v>0</v>
      </c>
      <c r="D23" s="46">
        <f>COUNTIFS('Engagement Log'!B10:B509,$A23,'Engagement Log'!P10:P509,"Lost")</f>
        <v>0</v>
      </c>
      <c r="E23" s="46">
        <f>COUNTIFS('Engagement Log'!B10:B509,$A23,'Engagement Log'!P10:P509,"Open")+COUNTIFS('Engagement Log'!B10:B509,$A23,'Engagement Log'!P10:P509,"In Progress")</f>
        <v>0</v>
      </c>
      <c r="F23" s="47">
        <f t="shared" si="0"/>
        <v>0</v>
      </c>
      <c r="G23" s="48">
        <f>SUMIFS('Engagement Log'!L10:L509,'Engagement Log'!B10:B509,$A23,'Engagement Log'!P10:P509,"&lt;&gt;Won",'Engagement Log'!P10:P509,"&lt;&gt;Lost",'Engagement Log'!P10:P509,"&lt;&gt;Closed")</f>
        <v>0</v>
      </c>
      <c r="H23" s="48">
        <f>SUMIFS('Engagement Log'!M10:M509,'Engagement Log'!B10:B509,$A23,'Engagement Log'!P10:P509,"Won")</f>
        <v>0</v>
      </c>
      <c r="I23" s="49" t="str">
        <f ca="1">IFERROR(maxifs('Engagement Log'!A10:A509,'Engagement Log'!B10:B509,$A23),"")</f>
        <v/>
      </c>
      <c r="J23" s="46" t="str">
        <f t="shared" ca="1" si="1"/>
        <v/>
      </c>
    </row>
    <row r="24" spans="1:10" x14ac:dyDescent="0.3">
      <c r="A24" s="40" t="s">
        <v>66</v>
      </c>
      <c r="B24" s="41">
        <f>COUNTIF('Engagement Log'!B10:B509,$A24)</f>
        <v>1</v>
      </c>
      <c r="C24" s="41">
        <f>COUNTIFS('Engagement Log'!B10:B509,$A24,'Engagement Log'!P10:P509,"Won")</f>
        <v>1</v>
      </c>
      <c r="D24" s="41">
        <f>COUNTIFS('Engagement Log'!B10:B509,$A24,'Engagement Log'!P10:P509,"Lost")</f>
        <v>0</v>
      </c>
      <c r="E24" s="41">
        <f>COUNTIFS('Engagement Log'!B10:B509,$A24,'Engagement Log'!P10:P509,"Open")+COUNTIFS('Engagement Log'!B10:B509,$A24,'Engagement Log'!P10:P509,"In Progress")</f>
        <v>0</v>
      </c>
      <c r="F24" s="42">
        <f t="shared" si="0"/>
        <v>1</v>
      </c>
      <c r="G24" s="43">
        <f>SUMIFS('Engagement Log'!L10:L509,'Engagement Log'!B10:B509,$A24,'Engagement Log'!P10:P509,"&lt;&gt;Won",'Engagement Log'!P10:P509,"&lt;&gt;Lost",'Engagement Log'!P10:P509,"&lt;&gt;Closed")</f>
        <v>0</v>
      </c>
      <c r="H24" s="43">
        <f>SUMIFS('Engagement Log'!M10:M509,'Engagement Log'!B10:B509,$A24,'Engagement Log'!P10:P509,"Won")</f>
        <v>320000</v>
      </c>
      <c r="I24" s="44" t="str">
        <f ca="1">IFERROR(maxifs('Engagement Log'!A10:A509,'Engagement Log'!B10:B509,$A24),"")</f>
        <v/>
      </c>
      <c r="J24" s="41" t="str">
        <f t="shared" ca="1" si="1"/>
        <v/>
      </c>
    </row>
    <row r="25" spans="1:10" x14ac:dyDescent="0.3">
      <c r="A25" s="45" t="s">
        <v>103</v>
      </c>
      <c r="B25" s="46">
        <f>COUNTIF('Engagement Log'!B10:B509,$A25)</f>
        <v>0</v>
      </c>
      <c r="C25" s="46">
        <f>COUNTIFS('Engagement Log'!B10:B509,$A25,'Engagement Log'!P10:P509,"Won")</f>
        <v>0</v>
      </c>
      <c r="D25" s="46">
        <f>COUNTIFS('Engagement Log'!B10:B509,$A25,'Engagement Log'!P10:P509,"Lost")</f>
        <v>0</v>
      </c>
      <c r="E25" s="46">
        <f>COUNTIFS('Engagement Log'!B10:B509,$A25,'Engagement Log'!P10:P509,"Open")+COUNTIFS('Engagement Log'!B10:B509,$A25,'Engagement Log'!P10:P509,"In Progress")</f>
        <v>0</v>
      </c>
      <c r="F25" s="47">
        <f t="shared" si="0"/>
        <v>0</v>
      </c>
      <c r="G25" s="48">
        <f>SUMIFS('Engagement Log'!L10:L509,'Engagement Log'!B10:B509,$A25,'Engagement Log'!P10:P509,"&lt;&gt;Won",'Engagement Log'!P10:P509,"&lt;&gt;Lost",'Engagement Log'!P10:P509,"&lt;&gt;Closed")</f>
        <v>0</v>
      </c>
      <c r="H25" s="48">
        <f>SUMIFS('Engagement Log'!M10:M509,'Engagement Log'!B10:B509,$A25,'Engagement Log'!P10:P509,"Won")</f>
        <v>0</v>
      </c>
      <c r="I25" s="49" t="str">
        <f ca="1">IFERROR(maxifs('Engagement Log'!A10:A509,'Engagement Log'!B10:B509,$A25),"")</f>
        <v/>
      </c>
      <c r="J25" s="46" t="str">
        <f t="shared" ca="1" si="1"/>
        <v/>
      </c>
    </row>
    <row r="26" spans="1:10" x14ac:dyDescent="0.3">
      <c r="A26" s="40" t="s">
        <v>104</v>
      </c>
      <c r="B26" s="41">
        <f>COUNTIF('Engagement Log'!B10:B509,$A26)</f>
        <v>0</v>
      </c>
      <c r="C26" s="41">
        <f>COUNTIFS('Engagement Log'!B10:B509,$A26,'Engagement Log'!P10:P509,"Won")</f>
        <v>0</v>
      </c>
      <c r="D26" s="41">
        <f>COUNTIFS('Engagement Log'!B10:B509,$A26,'Engagement Log'!P10:P509,"Lost")</f>
        <v>0</v>
      </c>
      <c r="E26" s="41">
        <f>COUNTIFS('Engagement Log'!B10:B509,$A26,'Engagement Log'!P10:P509,"Open")+COUNTIFS('Engagement Log'!B10:B509,$A26,'Engagement Log'!P10:P509,"In Progress")</f>
        <v>0</v>
      </c>
      <c r="F26" s="42">
        <f t="shared" si="0"/>
        <v>0</v>
      </c>
      <c r="G26" s="43">
        <f>SUMIFS('Engagement Log'!L10:L509,'Engagement Log'!B10:B509,$A26,'Engagement Log'!P10:P509,"&lt;&gt;Won",'Engagement Log'!P10:P509,"&lt;&gt;Lost",'Engagement Log'!P10:P509,"&lt;&gt;Closed")</f>
        <v>0</v>
      </c>
      <c r="H26" s="43">
        <f>SUMIFS('Engagement Log'!M10:M509,'Engagement Log'!B10:B509,$A26,'Engagement Log'!P10:P509,"Won")</f>
        <v>0</v>
      </c>
      <c r="I26" s="44" t="str">
        <f ca="1">IFERROR(maxifs('Engagement Log'!A10:A509,'Engagement Log'!B10:B509,$A26),"")</f>
        <v/>
      </c>
      <c r="J26" s="41" t="str">
        <f t="shared" ca="1" si="1"/>
        <v/>
      </c>
    </row>
    <row r="27" spans="1:10" x14ac:dyDescent="0.3">
      <c r="A27" s="45" t="s">
        <v>105</v>
      </c>
      <c r="B27" s="46">
        <f>COUNTIF('Engagement Log'!B10:B509,$A27)</f>
        <v>0</v>
      </c>
      <c r="C27" s="46">
        <f>COUNTIFS('Engagement Log'!B10:B509,$A27,'Engagement Log'!P10:P509,"Won")</f>
        <v>0</v>
      </c>
      <c r="D27" s="46">
        <f>COUNTIFS('Engagement Log'!B10:B509,$A27,'Engagement Log'!P10:P509,"Lost")</f>
        <v>0</v>
      </c>
      <c r="E27" s="46">
        <f>COUNTIFS('Engagement Log'!B10:B509,$A27,'Engagement Log'!P10:P509,"Open")+COUNTIFS('Engagement Log'!B10:B509,$A27,'Engagement Log'!P10:P509,"In Progress")</f>
        <v>0</v>
      </c>
      <c r="F27" s="47">
        <f t="shared" si="0"/>
        <v>0</v>
      </c>
      <c r="G27" s="48">
        <f>SUMIFS('Engagement Log'!L10:L509,'Engagement Log'!B10:B509,$A27,'Engagement Log'!P10:P509,"&lt;&gt;Won",'Engagement Log'!P10:P509,"&lt;&gt;Lost",'Engagement Log'!P10:P509,"&lt;&gt;Closed")</f>
        <v>0</v>
      </c>
      <c r="H27" s="48">
        <f>SUMIFS('Engagement Log'!M10:M509,'Engagement Log'!B10:B509,$A27,'Engagement Log'!P10:P509,"Won")</f>
        <v>0</v>
      </c>
      <c r="I27" s="49" t="str">
        <f ca="1">IFERROR(maxifs('Engagement Log'!A10:A509,'Engagement Log'!B10:B509,$A27),"")</f>
        <v/>
      </c>
      <c r="J27" s="46" t="str">
        <f t="shared" ca="1" si="1"/>
        <v/>
      </c>
    </row>
    <row r="28" spans="1:10" x14ac:dyDescent="0.3">
      <c r="A28" s="40" t="s">
        <v>106</v>
      </c>
      <c r="B28" s="41">
        <f>COUNTIF('Engagement Log'!B10:B509,$A28)</f>
        <v>0</v>
      </c>
      <c r="C28" s="41">
        <f>COUNTIFS('Engagement Log'!B10:B509,$A28,'Engagement Log'!P10:P509,"Won")</f>
        <v>0</v>
      </c>
      <c r="D28" s="41">
        <f>COUNTIFS('Engagement Log'!B10:B509,$A28,'Engagement Log'!P10:P509,"Lost")</f>
        <v>0</v>
      </c>
      <c r="E28" s="41">
        <f>COUNTIFS('Engagement Log'!B10:B509,$A28,'Engagement Log'!P10:P509,"Open")+COUNTIFS('Engagement Log'!B10:B509,$A28,'Engagement Log'!P10:P509,"In Progress")</f>
        <v>0</v>
      </c>
      <c r="F28" s="42">
        <f t="shared" si="0"/>
        <v>0</v>
      </c>
      <c r="G28" s="43">
        <f>SUMIFS('Engagement Log'!L10:L509,'Engagement Log'!B10:B509,$A28,'Engagement Log'!P10:P509,"&lt;&gt;Won",'Engagement Log'!P10:P509,"&lt;&gt;Lost",'Engagement Log'!P10:P509,"&lt;&gt;Closed")</f>
        <v>0</v>
      </c>
      <c r="H28" s="43">
        <f>SUMIFS('Engagement Log'!M10:M509,'Engagement Log'!B10:B509,$A28,'Engagement Log'!P10:P509,"Won")</f>
        <v>0</v>
      </c>
      <c r="I28" s="44" t="str">
        <f ca="1">IFERROR(maxifs('Engagement Log'!A10:A509,'Engagement Log'!B10:B509,$A28),"")</f>
        <v/>
      </c>
      <c r="J28" s="41" t="str">
        <f t="shared" ca="1" si="1"/>
        <v/>
      </c>
    </row>
    <row r="29" spans="1:10" x14ac:dyDescent="0.3">
      <c r="A29" s="45" t="s">
        <v>107</v>
      </c>
      <c r="B29" s="46">
        <f>COUNTIF('Engagement Log'!B10:B509,$A29)</f>
        <v>0</v>
      </c>
      <c r="C29" s="46">
        <f>COUNTIFS('Engagement Log'!B10:B509,$A29,'Engagement Log'!P10:P509,"Won")</f>
        <v>0</v>
      </c>
      <c r="D29" s="46">
        <f>COUNTIFS('Engagement Log'!B10:B509,$A29,'Engagement Log'!P10:P509,"Lost")</f>
        <v>0</v>
      </c>
      <c r="E29" s="46">
        <f>COUNTIFS('Engagement Log'!B10:B509,$A29,'Engagement Log'!P10:P509,"Open")+COUNTIFS('Engagement Log'!B10:B509,$A29,'Engagement Log'!P10:P509,"In Progress")</f>
        <v>0</v>
      </c>
      <c r="F29" s="47">
        <f t="shared" si="0"/>
        <v>0</v>
      </c>
      <c r="G29" s="48">
        <f>SUMIFS('Engagement Log'!L10:L509,'Engagement Log'!B10:B509,$A29,'Engagement Log'!P10:P509,"&lt;&gt;Won",'Engagement Log'!P10:P509,"&lt;&gt;Lost",'Engagement Log'!P10:P509,"&lt;&gt;Closed")</f>
        <v>0</v>
      </c>
      <c r="H29" s="48">
        <f>SUMIFS('Engagement Log'!M10:M509,'Engagement Log'!B10:B509,$A29,'Engagement Log'!P10:P509,"Won")</f>
        <v>0</v>
      </c>
      <c r="I29" s="49" t="str">
        <f ca="1">IFERROR(maxifs('Engagement Log'!A10:A509,'Engagement Log'!B10:B509,$A29),"")</f>
        <v/>
      </c>
      <c r="J29" s="46" t="str">
        <f t="shared" ca="1" si="1"/>
        <v/>
      </c>
    </row>
    <row r="30" spans="1:10" x14ac:dyDescent="0.3">
      <c r="A30" s="40" t="s">
        <v>108</v>
      </c>
      <c r="B30" s="41">
        <f>COUNTIF('Engagement Log'!B10:B509,$A30)</f>
        <v>0</v>
      </c>
      <c r="C30" s="41">
        <f>COUNTIFS('Engagement Log'!B10:B509,$A30,'Engagement Log'!P10:P509,"Won")</f>
        <v>0</v>
      </c>
      <c r="D30" s="41">
        <f>COUNTIFS('Engagement Log'!B10:B509,$A30,'Engagement Log'!P10:P509,"Lost")</f>
        <v>0</v>
      </c>
      <c r="E30" s="41">
        <f>COUNTIFS('Engagement Log'!B10:B509,$A30,'Engagement Log'!P10:P509,"Open")+COUNTIFS('Engagement Log'!B10:B509,$A30,'Engagement Log'!P10:P509,"In Progress")</f>
        <v>0</v>
      </c>
      <c r="F30" s="42">
        <f t="shared" si="0"/>
        <v>0</v>
      </c>
      <c r="G30" s="43">
        <f>SUMIFS('Engagement Log'!L10:L509,'Engagement Log'!B10:B509,$A30,'Engagement Log'!P10:P509,"&lt;&gt;Won",'Engagement Log'!P10:P509,"&lt;&gt;Lost",'Engagement Log'!P10:P509,"&lt;&gt;Closed")</f>
        <v>0</v>
      </c>
      <c r="H30" s="43">
        <f>SUMIFS('Engagement Log'!M10:M509,'Engagement Log'!B10:B509,$A30,'Engagement Log'!P10:P509,"Won")</f>
        <v>0</v>
      </c>
      <c r="I30" s="44" t="str">
        <f ca="1">IFERROR(maxifs('Engagement Log'!A10:A509,'Engagement Log'!B10:B509,$A30),"")</f>
        <v/>
      </c>
      <c r="J30" s="41" t="str">
        <f t="shared" ca="1" si="1"/>
        <v/>
      </c>
    </row>
    <row r="31" spans="1:10" x14ac:dyDescent="0.3">
      <c r="A31" s="50" t="s">
        <v>109</v>
      </c>
      <c r="B31" s="51">
        <f>SUM(B18:B30)</f>
        <v>3</v>
      </c>
      <c r="C31" s="51">
        <f>SUM(C18:C30)</f>
        <v>2</v>
      </c>
      <c r="D31" s="51">
        <f>SUM(D18:D30)</f>
        <v>0</v>
      </c>
      <c r="E31" s="51">
        <f>SUM(E18:E30)</f>
        <v>1</v>
      </c>
      <c r="F31" s="52">
        <f t="shared" si="0"/>
        <v>1</v>
      </c>
      <c r="G31" s="53">
        <f>SUM(G18:G30)</f>
        <v>180000</v>
      </c>
      <c r="H31" s="53">
        <f>SUM(H18:H30)</f>
        <v>320000</v>
      </c>
      <c r="I31" s="54"/>
      <c r="J31" s="54"/>
    </row>
    <row r="34" spans="1:12" ht="24" customHeight="1" x14ac:dyDescent="0.3">
      <c r="A34" s="10" t="s">
        <v>110</v>
      </c>
      <c r="B34" s="10"/>
      <c r="C34" s="10"/>
      <c r="D34" s="10"/>
      <c r="E34" s="10"/>
      <c r="F34" s="10"/>
      <c r="H34" s="10" t="s">
        <v>111</v>
      </c>
      <c r="I34" s="10"/>
      <c r="J34" s="10"/>
      <c r="K34" s="10"/>
      <c r="L34" s="10"/>
    </row>
    <row r="35" spans="1:12" ht="31.5" customHeight="1" x14ac:dyDescent="0.3">
      <c r="A35" s="27" t="s">
        <v>32</v>
      </c>
      <c r="B35" s="27" t="s">
        <v>112</v>
      </c>
      <c r="C35" s="27" t="s">
        <v>96</v>
      </c>
      <c r="D35" s="27" t="s">
        <v>22</v>
      </c>
      <c r="H35" s="55" t="s">
        <v>36</v>
      </c>
      <c r="I35" s="55" t="s">
        <v>112</v>
      </c>
      <c r="J35" s="55" t="s">
        <v>96</v>
      </c>
    </row>
    <row r="36" spans="1:12" x14ac:dyDescent="0.3">
      <c r="A36" s="56" t="s">
        <v>113</v>
      </c>
      <c r="B36" s="57">
        <f>COUNTIF('Engagement Log'!G10:G509,$A36)</f>
        <v>0</v>
      </c>
      <c r="C36" s="58">
        <f>SUMIFS('Engagement Log'!L10:L509,'Engagement Log'!G10:G509,$A36)</f>
        <v>0</v>
      </c>
      <c r="D36" s="58">
        <f>SUMIFS('Engagement Log'!M10:M509,'Engagement Log'!G10:G509,$A36,'Engagement Log'!P10:P509,"Won")</f>
        <v>0</v>
      </c>
      <c r="H36" s="56" t="s">
        <v>114</v>
      </c>
      <c r="I36" s="57">
        <f>COUNTIF('Engagement Log'!K10:K509,$H36)</f>
        <v>0</v>
      </c>
      <c r="J36" s="58">
        <f>SUMIFS('Engagement Log'!L10:L509,'Engagement Log'!K10:K509,$H36)</f>
        <v>0</v>
      </c>
    </row>
    <row r="37" spans="1:12" x14ac:dyDescent="0.3">
      <c r="A37" s="59" t="s">
        <v>47</v>
      </c>
      <c r="B37" s="60">
        <f>COUNTIF('Engagement Log'!G10:G509,$A37)</f>
        <v>1</v>
      </c>
      <c r="C37" s="61">
        <f>SUMIFS('Engagement Log'!L10:L509,'Engagement Log'!G10:G509,$A37)</f>
        <v>250000</v>
      </c>
      <c r="D37" s="61">
        <f>SUMIFS('Engagement Log'!M10:M509,'Engagement Log'!G10:G509,$A37,'Engagement Log'!P10:P509,"Won")</f>
        <v>0</v>
      </c>
      <c r="H37" s="59" t="s">
        <v>115</v>
      </c>
      <c r="I37" s="60">
        <f>COUNTIF('Engagement Log'!K10:K509,$H37)</f>
        <v>0</v>
      </c>
      <c r="J37" s="61">
        <f>SUMIFS('Engagement Log'!L10:L509,'Engagement Log'!K10:K509,$H37)</f>
        <v>0</v>
      </c>
    </row>
    <row r="38" spans="1:12" x14ac:dyDescent="0.3">
      <c r="A38" s="56" t="s">
        <v>59</v>
      </c>
      <c r="B38" s="57">
        <f>COUNTIF('Engagement Log'!G10:G509,$A38)</f>
        <v>1</v>
      </c>
      <c r="C38" s="58">
        <f>SUMIFS('Engagement Log'!L10:L509,'Engagement Log'!G10:G509,$A38)</f>
        <v>180000</v>
      </c>
      <c r="D38" s="58">
        <f>SUMIFS('Engagement Log'!M10:M509,'Engagement Log'!G10:G509,$A38,'Engagement Log'!P10:P509,"Won")</f>
        <v>0</v>
      </c>
      <c r="H38" s="56" t="s">
        <v>51</v>
      </c>
      <c r="I38" s="57">
        <f>COUNTIF('Engagement Log'!K10:K509,$H38)</f>
        <v>1</v>
      </c>
      <c r="J38" s="58">
        <f>SUMIFS('Engagement Log'!L10:L509,'Engagement Log'!K10:K509,$H38)</f>
        <v>250000</v>
      </c>
    </row>
    <row r="39" spans="1:12" x14ac:dyDescent="0.3">
      <c r="A39" s="59" t="s">
        <v>116</v>
      </c>
      <c r="B39" s="60">
        <f>COUNTIF('Engagement Log'!G10:G509,$A39)</f>
        <v>0</v>
      </c>
      <c r="C39" s="61">
        <f>SUMIFS('Engagement Log'!L10:L509,'Engagement Log'!G10:G509,$A39)</f>
        <v>0</v>
      </c>
      <c r="D39" s="61">
        <f>SUMIFS('Engagement Log'!M10:M509,'Engagement Log'!G10:G509,$A39,'Engagement Log'!P10:P509,"Won")</f>
        <v>0</v>
      </c>
      <c r="H39" s="59" t="s">
        <v>117</v>
      </c>
      <c r="I39" s="60">
        <f>COUNTIF('Engagement Log'!K10:K509,$H39)</f>
        <v>0</v>
      </c>
      <c r="J39" s="61">
        <f>SUMIFS('Engagement Log'!L10:L509,'Engagement Log'!K10:K509,$H39)</f>
        <v>0</v>
      </c>
    </row>
    <row r="40" spans="1:12" x14ac:dyDescent="0.3">
      <c r="A40" s="56" t="s">
        <v>69</v>
      </c>
      <c r="B40" s="57">
        <f>COUNTIF('Engagement Log'!G10:G509,$A40)</f>
        <v>1</v>
      </c>
      <c r="C40" s="58">
        <f>SUMIFS('Engagement Log'!L10:L509,'Engagement Log'!G10:G509,$A40)</f>
        <v>0</v>
      </c>
      <c r="D40" s="58">
        <f>SUMIFS('Engagement Log'!M10:M509,'Engagement Log'!G10:G509,$A40,'Engagement Log'!P10:P509,"Won")</f>
        <v>320000</v>
      </c>
      <c r="H40" s="56" t="s">
        <v>62</v>
      </c>
      <c r="I40" s="57">
        <f>COUNTIF('Engagement Log'!K10:K509,$H40)</f>
        <v>1</v>
      </c>
      <c r="J40" s="58">
        <f>SUMIFS('Engagement Log'!L10:L509,'Engagement Log'!K10:K509,$H40)</f>
        <v>180000</v>
      </c>
    </row>
    <row r="41" spans="1:12" x14ac:dyDescent="0.3">
      <c r="A41" s="59" t="s">
        <v>118</v>
      </c>
      <c r="B41" s="60">
        <f>COUNTIF('Engagement Log'!G10:G509,$A41)</f>
        <v>0</v>
      </c>
      <c r="C41" s="61">
        <f>SUMIFS('Engagement Log'!L10:L509,'Engagement Log'!G10:G509,$A41)</f>
        <v>0</v>
      </c>
      <c r="D41" s="61">
        <f>SUMIFS('Engagement Log'!M10:M509,'Engagement Log'!G10:G509,$A41,'Engagement Log'!P10:P509,"Won")</f>
        <v>0</v>
      </c>
      <c r="H41" s="59" t="s">
        <v>72</v>
      </c>
      <c r="I41" s="60">
        <f>COUNTIF('Engagement Log'!K10:K509,$H41)</f>
        <v>1</v>
      </c>
      <c r="J41" s="61">
        <f>SUMIFS('Engagement Log'!L10:L509,'Engagement Log'!K10:K509,$H41)</f>
        <v>0</v>
      </c>
    </row>
    <row r="42" spans="1:12" x14ac:dyDescent="0.3">
      <c r="A42" s="56" t="s">
        <v>119</v>
      </c>
      <c r="B42" s="57">
        <f>COUNTIF('Engagement Log'!G10:G509,$A42)</f>
        <v>0</v>
      </c>
      <c r="C42" s="58">
        <f>SUMIFS('Engagement Log'!L10:L509,'Engagement Log'!G10:G509,$A42)</f>
        <v>0</v>
      </c>
      <c r="D42" s="58">
        <f>SUMIFS('Engagement Log'!M10:M509,'Engagement Log'!G10:G509,$A42,'Engagement Log'!P10:P509,"Won")</f>
        <v>0</v>
      </c>
      <c r="H42" s="56" t="s">
        <v>120</v>
      </c>
      <c r="I42" s="57">
        <f>COUNTIF('Engagement Log'!K10:K509,$H42)</f>
        <v>0</v>
      </c>
      <c r="J42" s="58">
        <f>SUMIFS('Engagement Log'!L10:L509,'Engagement Log'!K10:K509,$H42)</f>
        <v>0</v>
      </c>
    </row>
    <row r="43" spans="1:12" x14ac:dyDescent="0.3">
      <c r="A43" s="59" t="s">
        <v>121</v>
      </c>
      <c r="B43" s="60">
        <f>COUNTIF('Engagement Log'!G10:G509,$A43)</f>
        <v>0</v>
      </c>
      <c r="C43" s="61">
        <f>SUMIFS('Engagement Log'!L10:L509,'Engagement Log'!G10:G509,$A43)</f>
        <v>0</v>
      </c>
      <c r="D43" s="61">
        <f>SUMIFS('Engagement Log'!M10:M509,'Engagement Log'!G10:G509,$A43,'Engagement Log'!P10:P509,"Won")</f>
        <v>0</v>
      </c>
      <c r="H43" s="59" t="s">
        <v>122</v>
      </c>
      <c r="I43" s="60">
        <f>COUNTIF('Engagement Log'!K10:K509,$H43)</f>
        <v>0</v>
      </c>
      <c r="J43" s="61">
        <f>SUMIFS('Engagement Log'!L10:L509,'Engagement Log'!K10:K509,$H43)</f>
        <v>0</v>
      </c>
    </row>
    <row r="44" spans="1:12" x14ac:dyDescent="0.3">
      <c r="A44" s="56" t="s">
        <v>123</v>
      </c>
      <c r="B44" s="57">
        <f>COUNTIF('Engagement Log'!G10:G509,$A44)</f>
        <v>0</v>
      </c>
      <c r="C44" s="58">
        <f>SUMIFS('Engagement Log'!L10:L509,'Engagement Log'!G10:G509,$A44)</f>
        <v>0</v>
      </c>
      <c r="D44" s="58">
        <f>SUMIFS('Engagement Log'!M10:M509,'Engagement Log'!G10:G509,$A44,'Engagement Log'!P10:P509,"Won")</f>
        <v>0</v>
      </c>
      <c r="H44" s="56" t="s">
        <v>124</v>
      </c>
      <c r="I44" s="57">
        <f>COUNTIF('Engagement Log'!K10:K509,$H44)</f>
        <v>0</v>
      </c>
      <c r="J44" s="58">
        <f>SUMIFS('Engagement Log'!L10:L509,'Engagement Log'!K10:K509,$H44)</f>
        <v>0</v>
      </c>
    </row>
    <row r="45" spans="1:12" x14ac:dyDescent="0.3">
      <c r="A45" s="59" t="s">
        <v>125</v>
      </c>
      <c r="B45" s="60">
        <f>COUNTIF('Engagement Log'!G10:G509,$A45)</f>
        <v>0</v>
      </c>
      <c r="C45" s="61">
        <f>SUMIFS('Engagement Log'!L10:L509,'Engagement Log'!G10:G509,$A45)</f>
        <v>0</v>
      </c>
      <c r="D45" s="61">
        <f>SUMIFS('Engagement Log'!M10:M509,'Engagement Log'!G10:G509,$A45,'Engagement Log'!P10:P509,"Won")</f>
        <v>0</v>
      </c>
      <c r="H45" s="59" t="s">
        <v>126</v>
      </c>
      <c r="I45" s="60">
        <f>COUNTIF('Engagement Log'!K10:K509,$H45)</f>
        <v>0</v>
      </c>
      <c r="J45" s="61">
        <f>SUMIFS('Engagement Log'!L10:L509,'Engagement Log'!K10:K509,$H45)</f>
        <v>0</v>
      </c>
    </row>
    <row r="46" spans="1:12" x14ac:dyDescent="0.3">
      <c r="A46" s="56" t="s">
        <v>127</v>
      </c>
      <c r="B46" s="57">
        <f>COUNTIF('Engagement Log'!G10:G509,$A46)</f>
        <v>0</v>
      </c>
      <c r="C46" s="58">
        <f>SUMIFS('Engagement Log'!L10:L509,'Engagement Log'!G10:G509,$A46)</f>
        <v>0</v>
      </c>
      <c r="D46" s="58">
        <f>SUMIFS('Engagement Log'!M10:M509,'Engagement Log'!G10:G509,$A46,'Engagement Log'!P10:P509,"Won")</f>
        <v>0</v>
      </c>
      <c r="H46" s="56" t="s">
        <v>128</v>
      </c>
      <c r="I46" s="57">
        <f>COUNTIF('Engagement Log'!K10:K509,$H46)</f>
        <v>0</v>
      </c>
      <c r="J46" s="58">
        <f>SUMIFS('Engagement Log'!L10:L509,'Engagement Log'!K10:K509,$H46)</f>
        <v>0</v>
      </c>
    </row>
    <row r="47" spans="1:12" x14ac:dyDescent="0.3">
      <c r="A47" s="59" t="s">
        <v>129</v>
      </c>
      <c r="B47" s="60">
        <f>COUNTIF('Engagement Log'!G10:G509,$A47)</f>
        <v>0</v>
      </c>
      <c r="C47" s="61">
        <f>SUMIFS('Engagement Log'!L10:L509,'Engagement Log'!G10:G509,$A47)</f>
        <v>0</v>
      </c>
      <c r="D47" s="61">
        <f>SUMIFS('Engagement Log'!M10:M509,'Engagement Log'!G10:G509,$A47,'Engagement Log'!P10:P509,"Won")</f>
        <v>0</v>
      </c>
    </row>
    <row r="48" spans="1:12" x14ac:dyDescent="0.3">
      <c r="A48" s="56" t="s">
        <v>130</v>
      </c>
      <c r="B48" s="57">
        <f>COUNTIF('Engagement Log'!G10:G509,$A48)</f>
        <v>0</v>
      </c>
      <c r="C48" s="58">
        <f>SUMIFS('Engagement Log'!L10:L509,'Engagement Log'!G10:G509,$A48)</f>
        <v>0</v>
      </c>
      <c r="D48" s="58">
        <f>SUMIFS('Engagement Log'!M10:M509,'Engagement Log'!G10:G509,$A48,'Engagement Log'!P10:P509,"Won")</f>
        <v>0</v>
      </c>
    </row>
    <row r="49" spans="1:4" x14ac:dyDescent="0.3">
      <c r="A49" s="59" t="s">
        <v>131</v>
      </c>
      <c r="B49" s="60">
        <f>COUNTIF('Engagement Log'!G10:G509,$A49)</f>
        <v>0</v>
      </c>
      <c r="C49" s="61">
        <f>SUMIFS('Engagement Log'!L10:L509,'Engagement Log'!G10:G509,$A49)</f>
        <v>0</v>
      </c>
      <c r="D49" s="61">
        <f>SUMIFS('Engagement Log'!M10:M509,'Engagement Log'!G10:G509,$A49,'Engagement Log'!P10:P509,"Won")</f>
        <v>0</v>
      </c>
    </row>
    <row r="50" spans="1:4" x14ac:dyDescent="0.3">
      <c r="A50" s="56" t="s">
        <v>132</v>
      </c>
      <c r="B50" s="57">
        <f>COUNTIF('Engagement Log'!G10:G509,$A50)</f>
        <v>0</v>
      </c>
      <c r="C50" s="58">
        <f>SUMIFS('Engagement Log'!L10:L509,'Engagement Log'!G10:G509,$A50)</f>
        <v>0</v>
      </c>
      <c r="D50" s="58">
        <f>SUMIFS('Engagement Log'!M10:M509,'Engagement Log'!G10:G509,$A50,'Engagement Log'!P10:P509,"Won")</f>
        <v>0</v>
      </c>
    </row>
  </sheetData>
  <mergeCells count="24">
    <mergeCell ref="A9:L9"/>
    <mergeCell ref="A16:L16"/>
    <mergeCell ref="A34:F34"/>
    <mergeCell ref="H34:L34"/>
    <mergeCell ref="P5:R6"/>
    <mergeCell ref="A7:C7"/>
    <mergeCell ref="D7:F7"/>
    <mergeCell ref="G7:I7"/>
    <mergeCell ref="J7:L7"/>
    <mergeCell ref="M7:O7"/>
    <mergeCell ref="P7:R7"/>
    <mergeCell ref="A5:C6"/>
    <mergeCell ref="D5:F6"/>
    <mergeCell ref="G5:I6"/>
    <mergeCell ref="J5:L6"/>
    <mergeCell ref="M5:O6"/>
    <mergeCell ref="A1:R1"/>
    <mergeCell ref="A2:R2"/>
    <mergeCell ref="A4:C4"/>
    <mergeCell ref="D4:F4"/>
    <mergeCell ref="G4:I4"/>
    <mergeCell ref="J4:L4"/>
    <mergeCell ref="M4:O4"/>
    <mergeCell ref="P4:R4"/>
  </mergeCells>
  <conditionalFormatting sqref="B18:B30">
    <cfRule type="colorScale" priority="2">
      <colorScale>
        <cfvo type="min"/>
        <cfvo type="percentile" val="50"/>
        <cfvo type="max"/>
        <color rgb="FFFFE6E6"/>
        <color rgb="FFFFF4B0"/>
        <color rgb="FFC6EFCE"/>
      </colorScale>
    </cfRule>
  </conditionalFormatting>
  <conditionalFormatting sqref="J18:J30">
    <cfRule type="expression" dxfId="5" priority="3">
      <formula>AND($J18&lt;&gt;"",$J18&gt;60)</formula>
    </cfRule>
    <cfRule type="expression" dxfId="4" priority="4">
      <formula>AND($J18&lt;&gt;"",$J18&gt;30,$J18&lt;=60)</formula>
    </cfRule>
    <cfRule type="expression" dxfId="3" priority="5">
      <formula>AND($J18&lt;&gt;"",$J18&lt;=30)</formula>
    </cfRule>
  </conditionalFormatting>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
  <sheetViews>
    <sheetView showGridLines="0" zoomScaleNormal="100" workbookViewId="0">
      <pane xSplit="1" ySplit="4" topLeftCell="B5" activePane="bottomRight" state="frozen"/>
      <selection pane="topRight" activeCell="B1" sqref="B1"/>
      <selection pane="bottomLeft" activeCell="A5" sqref="A5"/>
      <selection pane="bottomRight" activeCell="G22" sqref="G22"/>
    </sheetView>
  </sheetViews>
  <sheetFormatPr defaultColWidth="8.6640625" defaultRowHeight="14.4" x14ac:dyDescent="0.3"/>
  <cols>
    <col min="1" max="1" width="16" customWidth="1"/>
    <col min="2" max="16" width="11" customWidth="1"/>
    <col min="17" max="17" width="12" customWidth="1"/>
  </cols>
  <sheetData>
    <row r="1" spans="1:17" ht="31.5" customHeight="1" x14ac:dyDescent="0.3">
      <c r="A1" s="12" t="s">
        <v>133</v>
      </c>
      <c r="B1" s="12"/>
      <c r="C1" s="12"/>
      <c r="D1" s="12"/>
      <c r="E1" s="12"/>
      <c r="F1" s="12"/>
      <c r="G1" s="12"/>
      <c r="H1" s="12"/>
      <c r="I1" s="12"/>
      <c r="J1" s="12"/>
      <c r="K1" s="12"/>
      <c r="L1" s="12"/>
      <c r="M1" s="12"/>
      <c r="N1" s="12"/>
      <c r="O1" s="12"/>
      <c r="P1" s="12"/>
      <c r="Q1" s="12"/>
    </row>
    <row r="2" spans="1:17" ht="21.75" customHeight="1" x14ac:dyDescent="0.3">
      <c r="A2" s="11" t="s">
        <v>134</v>
      </c>
      <c r="B2" s="11"/>
      <c r="C2" s="11"/>
      <c r="D2" s="11"/>
      <c r="E2" s="11"/>
      <c r="F2" s="11"/>
      <c r="G2" s="11"/>
      <c r="H2" s="11"/>
      <c r="I2" s="11"/>
      <c r="J2" s="11"/>
      <c r="K2" s="11"/>
      <c r="L2" s="11"/>
      <c r="M2" s="11"/>
      <c r="N2" s="11"/>
      <c r="O2" s="11"/>
      <c r="P2" s="11"/>
      <c r="Q2" s="11"/>
    </row>
    <row r="4" spans="1:17" ht="75" customHeight="1" x14ac:dyDescent="0.3">
      <c r="A4" s="54" t="s">
        <v>27</v>
      </c>
      <c r="B4" s="62" t="s">
        <v>113</v>
      </c>
      <c r="C4" s="62" t="s">
        <v>47</v>
      </c>
      <c r="D4" s="62" t="s">
        <v>59</v>
      </c>
      <c r="E4" s="62" t="s">
        <v>116</v>
      </c>
      <c r="F4" s="62" t="s">
        <v>69</v>
      </c>
      <c r="G4" s="62" t="s">
        <v>118</v>
      </c>
      <c r="H4" s="62" t="s">
        <v>119</v>
      </c>
      <c r="I4" s="62" t="s">
        <v>121</v>
      </c>
      <c r="J4" s="62" t="s">
        <v>123</v>
      </c>
      <c r="K4" s="62" t="s">
        <v>125</v>
      </c>
      <c r="L4" s="62" t="s">
        <v>127</v>
      </c>
      <c r="M4" s="62" t="s">
        <v>129</v>
      </c>
      <c r="N4" s="62" t="s">
        <v>130</v>
      </c>
      <c r="O4" s="62" t="s">
        <v>131</v>
      </c>
      <c r="P4" s="62" t="s">
        <v>132</v>
      </c>
      <c r="Q4" s="63" t="s">
        <v>109</v>
      </c>
    </row>
    <row r="5" spans="1:17" x14ac:dyDescent="0.3">
      <c r="A5" s="64" t="s">
        <v>42</v>
      </c>
      <c r="B5" s="65">
        <f>COUNTIFS('Engagement Log'!B10:B509,$A5,'Engagement Log'!G10:G509,B$4)</f>
        <v>0</v>
      </c>
      <c r="C5" s="65">
        <f>COUNTIFS('Engagement Log'!B10:B509,$A5,'Engagement Log'!G10:G509,C$4)</f>
        <v>1</v>
      </c>
      <c r="D5" s="65">
        <f>COUNTIFS('Engagement Log'!B10:B509,$A5,'Engagement Log'!G10:G509,D$4)</f>
        <v>0</v>
      </c>
      <c r="E5" s="65">
        <f>COUNTIFS('Engagement Log'!B10:B509,$A5,'Engagement Log'!G10:G509,E$4)</f>
        <v>0</v>
      </c>
      <c r="F5" s="65">
        <f>COUNTIFS('Engagement Log'!B10:B509,$A5,'Engagement Log'!G10:G509,F$4)</f>
        <v>0</v>
      </c>
      <c r="G5" s="65">
        <f>COUNTIFS('Engagement Log'!B10:B509,$A5,'Engagement Log'!G10:G509,G$4)</f>
        <v>0</v>
      </c>
      <c r="H5" s="65">
        <f>COUNTIFS('Engagement Log'!B10:B509,$A5,'Engagement Log'!G10:G509,H$4)</f>
        <v>0</v>
      </c>
      <c r="I5" s="65">
        <f>COUNTIFS('Engagement Log'!B10:B509,$A5,'Engagement Log'!G10:G509,I$4)</f>
        <v>0</v>
      </c>
      <c r="J5" s="65">
        <f>COUNTIFS('Engagement Log'!B10:B509,$A5,'Engagement Log'!G10:G509,J$4)</f>
        <v>0</v>
      </c>
      <c r="K5" s="65">
        <f>COUNTIFS('Engagement Log'!B10:B509,$A5,'Engagement Log'!G10:G509,K$4)</f>
        <v>0</v>
      </c>
      <c r="L5" s="65">
        <f>COUNTIFS('Engagement Log'!B10:B509,$A5,'Engagement Log'!G10:G509,L$4)</f>
        <v>0</v>
      </c>
      <c r="M5" s="65">
        <f>COUNTIFS('Engagement Log'!B10:B509,$A5,'Engagement Log'!G10:G509,M$4)</f>
        <v>0</v>
      </c>
      <c r="N5" s="65">
        <f>COUNTIFS('Engagement Log'!B10:B509,$A5,'Engagement Log'!G10:G509,N$4)</f>
        <v>0</v>
      </c>
      <c r="O5" s="65">
        <f>COUNTIFS('Engagement Log'!B10:B509,$A5,'Engagement Log'!G10:G509,O$4)</f>
        <v>0</v>
      </c>
      <c r="P5" s="65">
        <f>COUNTIFS('Engagement Log'!B10:B509,$A5,'Engagement Log'!G10:G509,P$4)</f>
        <v>0</v>
      </c>
      <c r="Q5" s="65">
        <f t="shared" ref="Q5:Q17" si="0">SUM(B5:P5)</f>
        <v>1</v>
      </c>
    </row>
    <row r="6" spans="1:17" x14ac:dyDescent="0.3">
      <c r="A6" s="64" t="s">
        <v>99</v>
      </c>
      <c r="B6" s="65">
        <f>COUNTIFS('Engagement Log'!B10:B509,$A6,'Engagement Log'!G10:G509,B$4)</f>
        <v>0</v>
      </c>
      <c r="C6" s="65">
        <f>COUNTIFS('Engagement Log'!B10:B509,$A6,'Engagement Log'!G10:G509,C$4)</f>
        <v>0</v>
      </c>
      <c r="D6" s="65">
        <f>COUNTIFS('Engagement Log'!B10:B509,$A6,'Engagement Log'!G10:G509,D$4)</f>
        <v>0</v>
      </c>
      <c r="E6" s="65">
        <f>COUNTIFS('Engagement Log'!B10:B509,$A6,'Engagement Log'!G10:G509,E$4)</f>
        <v>0</v>
      </c>
      <c r="F6" s="65">
        <f>COUNTIFS('Engagement Log'!B10:B509,$A6,'Engagement Log'!G10:G509,F$4)</f>
        <v>0</v>
      </c>
      <c r="G6" s="65">
        <f>COUNTIFS('Engagement Log'!B10:B509,$A6,'Engagement Log'!G10:G509,G$4)</f>
        <v>0</v>
      </c>
      <c r="H6" s="65">
        <f>COUNTIFS('Engagement Log'!B10:B509,$A6,'Engagement Log'!G10:G509,H$4)</f>
        <v>0</v>
      </c>
      <c r="I6" s="65">
        <f>COUNTIFS('Engagement Log'!B10:B509,$A6,'Engagement Log'!G10:G509,I$4)</f>
        <v>0</v>
      </c>
      <c r="J6" s="65">
        <f>COUNTIFS('Engagement Log'!B10:B509,$A6,'Engagement Log'!G10:G509,J$4)</f>
        <v>0</v>
      </c>
      <c r="K6" s="65">
        <f>COUNTIFS('Engagement Log'!B10:B509,$A6,'Engagement Log'!G10:G509,K$4)</f>
        <v>0</v>
      </c>
      <c r="L6" s="65">
        <f>COUNTIFS('Engagement Log'!B10:B509,$A6,'Engagement Log'!G10:G509,L$4)</f>
        <v>0</v>
      </c>
      <c r="M6" s="65">
        <f>COUNTIFS('Engagement Log'!B10:B509,$A6,'Engagement Log'!G10:G509,M$4)</f>
        <v>0</v>
      </c>
      <c r="N6" s="65">
        <f>COUNTIFS('Engagement Log'!B10:B509,$A6,'Engagement Log'!G10:G509,N$4)</f>
        <v>0</v>
      </c>
      <c r="O6" s="65">
        <f>COUNTIFS('Engagement Log'!B10:B509,$A6,'Engagement Log'!G10:G509,O$4)</f>
        <v>0</v>
      </c>
      <c r="P6" s="65">
        <f>COUNTIFS('Engagement Log'!B10:B509,$A6,'Engagement Log'!G10:G509,P$4)</f>
        <v>0</v>
      </c>
      <c r="Q6" s="65">
        <f t="shared" si="0"/>
        <v>0</v>
      </c>
    </row>
    <row r="7" spans="1:17" x14ac:dyDescent="0.3">
      <c r="A7" s="64" t="s">
        <v>55</v>
      </c>
      <c r="B7" s="65">
        <f>COUNTIFS('Engagement Log'!B10:B509,$A7,'Engagement Log'!G10:G509,B$4)</f>
        <v>0</v>
      </c>
      <c r="C7" s="65">
        <f>COUNTIFS('Engagement Log'!B10:B509,$A7,'Engagement Log'!G10:G509,C$4)</f>
        <v>0</v>
      </c>
      <c r="D7" s="65">
        <f>COUNTIFS('Engagement Log'!B10:B509,$A7,'Engagement Log'!G10:G509,D$4)</f>
        <v>1</v>
      </c>
      <c r="E7" s="65">
        <f>COUNTIFS('Engagement Log'!B10:B509,$A7,'Engagement Log'!G10:G509,E$4)</f>
        <v>0</v>
      </c>
      <c r="F7" s="65">
        <f>COUNTIFS('Engagement Log'!B10:B509,$A7,'Engagement Log'!G10:G509,F$4)</f>
        <v>0</v>
      </c>
      <c r="G7" s="65">
        <f>COUNTIFS('Engagement Log'!B10:B509,$A7,'Engagement Log'!G10:G509,G$4)</f>
        <v>0</v>
      </c>
      <c r="H7" s="65">
        <f>COUNTIFS('Engagement Log'!B10:B509,$A7,'Engagement Log'!G10:G509,H$4)</f>
        <v>0</v>
      </c>
      <c r="I7" s="65">
        <f>COUNTIFS('Engagement Log'!B10:B509,$A7,'Engagement Log'!G10:G509,I$4)</f>
        <v>0</v>
      </c>
      <c r="J7" s="65">
        <f>COUNTIFS('Engagement Log'!B10:B509,$A7,'Engagement Log'!G10:G509,J$4)</f>
        <v>0</v>
      </c>
      <c r="K7" s="65">
        <f>COUNTIFS('Engagement Log'!B10:B509,$A7,'Engagement Log'!G10:G509,K$4)</f>
        <v>0</v>
      </c>
      <c r="L7" s="65">
        <f>COUNTIFS('Engagement Log'!B10:B509,$A7,'Engagement Log'!G10:G509,L$4)</f>
        <v>0</v>
      </c>
      <c r="M7" s="65">
        <f>COUNTIFS('Engagement Log'!B10:B509,$A7,'Engagement Log'!G10:G509,M$4)</f>
        <v>0</v>
      </c>
      <c r="N7" s="65">
        <f>COUNTIFS('Engagement Log'!B10:B509,$A7,'Engagement Log'!G10:G509,N$4)</f>
        <v>0</v>
      </c>
      <c r="O7" s="65">
        <f>COUNTIFS('Engagement Log'!B10:B509,$A7,'Engagement Log'!G10:G509,O$4)</f>
        <v>0</v>
      </c>
      <c r="P7" s="65">
        <f>COUNTIFS('Engagement Log'!B10:B509,$A7,'Engagement Log'!G10:G509,P$4)</f>
        <v>0</v>
      </c>
      <c r="Q7" s="65">
        <f t="shared" si="0"/>
        <v>1</v>
      </c>
    </row>
    <row r="8" spans="1:17" x14ac:dyDescent="0.3">
      <c r="A8" s="64" t="s">
        <v>100</v>
      </c>
      <c r="B8" s="65">
        <f>COUNTIFS('Engagement Log'!B10:B509,$A8,'Engagement Log'!G10:G509,B$4)</f>
        <v>0</v>
      </c>
      <c r="C8" s="65">
        <f>COUNTIFS('Engagement Log'!B10:B509,$A8,'Engagement Log'!G10:G509,C$4)</f>
        <v>0</v>
      </c>
      <c r="D8" s="65">
        <f>COUNTIFS('Engagement Log'!B10:B509,$A8,'Engagement Log'!G10:G509,D$4)</f>
        <v>0</v>
      </c>
      <c r="E8" s="65">
        <f>COUNTIFS('Engagement Log'!B10:B509,$A8,'Engagement Log'!G10:G509,E$4)</f>
        <v>0</v>
      </c>
      <c r="F8" s="65">
        <f>COUNTIFS('Engagement Log'!B10:B509,$A8,'Engagement Log'!G10:G509,F$4)</f>
        <v>0</v>
      </c>
      <c r="G8" s="65">
        <f>COUNTIFS('Engagement Log'!B10:B509,$A8,'Engagement Log'!G10:G509,G$4)</f>
        <v>0</v>
      </c>
      <c r="H8" s="65">
        <f>COUNTIFS('Engagement Log'!B10:B509,$A8,'Engagement Log'!G10:G509,H$4)</f>
        <v>0</v>
      </c>
      <c r="I8" s="65">
        <f>COUNTIFS('Engagement Log'!B10:B509,$A8,'Engagement Log'!G10:G509,I$4)</f>
        <v>0</v>
      </c>
      <c r="J8" s="65">
        <f>COUNTIFS('Engagement Log'!B10:B509,$A8,'Engagement Log'!G10:G509,J$4)</f>
        <v>0</v>
      </c>
      <c r="K8" s="65">
        <f>COUNTIFS('Engagement Log'!B10:B509,$A8,'Engagement Log'!G10:G509,K$4)</f>
        <v>0</v>
      </c>
      <c r="L8" s="65">
        <f>COUNTIFS('Engagement Log'!B10:B509,$A8,'Engagement Log'!G10:G509,L$4)</f>
        <v>0</v>
      </c>
      <c r="M8" s="65">
        <f>COUNTIFS('Engagement Log'!B10:B509,$A8,'Engagement Log'!G10:G509,M$4)</f>
        <v>0</v>
      </c>
      <c r="N8" s="65">
        <f>COUNTIFS('Engagement Log'!B10:B509,$A8,'Engagement Log'!G10:G509,N$4)</f>
        <v>0</v>
      </c>
      <c r="O8" s="65">
        <f>COUNTIFS('Engagement Log'!B10:B509,$A8,'Engagement Log'!G10:G509,O$4)</f>
        <v>0</v>
      </c>
      <c r="P8" s="65">
        <f>COUNTIFS('Engagement Log'!B10:B509,$A8,'Engagement Log'!G10:G509,P$4)</f>
        <v>0</v>
      </c>
      <c r="Q8" s="65">
        <f t="shared" si="0"/>
        <v>0</v>
      </c>
    </row>
    <row r="9" spans="1:17" x14ac:dyDescent="0.3">
      <c r="A9" s="64" t="s">
        <v>101</v>
      </c>
      <c r="B9" s="65">
        <f>COUNTIFS('Engagement Log'!B10:B509,$A9,'Engagement Log'!G10:G509,B$4)</f>
        <v>0</v>
      </c>
      <c r="C9" s="65">
        <f>COUNTIFS('Engagement Log'!B10:B509,$A9,'Engagement Log'!G10:G509,C$4)</f>
        <v>0</v>
      </c>
      <c r="D9" s="65">
        <f>COUNTIFS('Engagement Log'!B10:B509,$A9,'Engagement Log'!G10:G509,D$4)</f>
        <v>0</v>
      </c>
      <c r="E9" s="65">
        <f>COUNTIFS('Engagement Log'!B10:B509,$A9,'Engagement Log'!G10:G509,E$4)</f>
        <v>0</v>
      </c>
      <c r="F9" s="65">
        <f>COUNTIFS('Engagement Log'!B10:B509,$A9,'Engagement Log'!G10:G509,F$4)</f>
        <v>0</v>
      </c>
      <c r="G9" s="65">
        <f>COUNTIFS('Engagement Log'!B10:B509,$A9,'Engagement Log'!G10:G509,G$4)</f>
        <v>0</v>
      </c>
      <c r="H9" s="65">
        <f>COUNTIFS('Engagement Log'!B10:B509,$A9,'Engagement Log'!G10:G509,H$4)</f>
        <v>0</v>
      </c>
      <c r="I9" s="65">
        <f>COUNTIFS('Engagement Log'!B10:B509,$A9,'Engagement Log'!G10:G509,I$4)</f>
        <v>0</v>
      </c>
      <c r="J9" s="65">
        <f>COUNTIFS('Engagement Log'!B10:B509,$A9,'Engagement Log'!G10:G509,J$4)</f>
        <v>0</v>
      </c>
      <c r="K9" s="65">
        <f>COUNTIFS('Engagement Log'!B10:B509,$A9,'Engagement Log'!G10:G509,K$4)</f>
        <v>0</v>
      </c>
      <c r="L9" s="65">
        <f>COUNTIFS('Engagement Log'!B10:B509,$A9,'Engagement Log'!G10:G509,L$4)</f>
        <v>0</v>
      </c>
      <c r="M9" s="65">
        <f>COUNTIFS('Engagement Log'!B10:B509,$A9,'Engagement Log'!G10:G509,M$4)</f>
        <v>0</v>
      </c>
      <c r="N9" s="65">
        <f>COUNTIFS('Engagement Log'!B10:B509,$A9,'Engagement Log'!G10:G509,N$4)</f>
        <v>0</v>
      </c>
      <c r="O9" s="65">
        <f>COUNTIFS('Engagement Log'!B10:B509,$A9,'Engagement Log'!G10:G509,O$4)</f>
        <v>0</v>
      </c>
      <c r="P9" s="65">
        <f>COUNTIFS('Engagement Log'!B10:B509,$A9,'Engagement Log'!G10:G509,P$4)</f>
        <v>0</v>
      </c>
      <c r="Q9" s="65">
        <f t="shared" si="0"/>
        <v>0</v>
      </c>
    </row>
    <row r="10" spans="1:17" x14ac:dyDescent="0.3">
      <c r="A10" s="64" t="s">
        <v>102</v>
      </c>
      <c r="B10" s="65">
        <f>COUNTIFS('Engagement Log'!B10:B509,$A10,'Engagement Log'!G10:G509,B$4)</f>
        <v>0</v>
      </c>
      <c r="C10" s="65">
        <f>COUNTIFS('Engagement Log'!B10:B509,$A10,'Engagement Log'!G10:G509,C$4)</f>
        <v>0</v>
      </c>
      <c r="D10" s="65">
        <f>COUNTIFS('Engagement Log'!B10:B509,$A10,'Engagement Log'!G10:G509,D$4)</f>
        <v>0</v>
      </c>
      <c r="E10" s="65">
        <f>COUNTIFS('Engagement Log'!B10:B509,$A10,'Engagement Log'!G10:G509,E$4)</f>
        <v>0</v>
      </c>
      <c r="F10" s="65">
        <f>COUNTIFS('Engagement Log'!B10:B509,$A10,'Engagement Log'!G10:G509,F$4)</f>
        <v>0</v>
      </c>
      <c r="G10" s="65">
        <f>COUNTIFS('Engagement Log'!B10:B509,$A10,'Engagement Log'!G10:G509,G$4)</f>
        <v>0</v>
      </c>
      <c r="H10" s="65">
        <f>COUNTIFS('Engagement Log'!B10:B509,$A10,'Engagement Log'!G10:G509,H$4)</f>
        <v>0</v>
      </c>
      <c r="I10" s="65">
        <f>COUNTIFS('Engagement Log'!B10:B509,$A10,'Engagement Log'!G10:G509,I$4)</f>
        <v>0</v>
      </c>
      <c r="J10" s="65">
        <f>COUNTIFS('Engagement Log'!B10:B509,$A10,'Engagement Log'!G10:G509,J$4)</f>
        <v>0</v>
      </c>
      <c r="K10" s="65">
        <f>COUNTIFS('Engagement Log'!B10:B509,$A10,'Engagement Log'!G10:G509,K$4)</f>
        <v>0</v>
      </c>
      <c r="L10" s="65">
        <f>COUNTIFS('Engagement Log'!B10:B509,$A10,'Engagement Log'!G10:G509,L$4)</f>
        <v>0</v>
      </c>
      <c r="M10" s="65">
        <f>COUNTIFS('Engagement Log'!B10:B509,$A10,'Engagement Log'!G10:G509,M$4)</f>
        <v>0</v>
      </c>
      <c r="N10" s="65">
        <f>COUNTIFS('Engagement Log'!B10:B509,$A10,'Engagement Log'!G10:G509,N$4)</f>
        <v>0</v>
      </c>
      <c r="O10" s="65">
        <f>COUNTIFS('Engagement Log'!B10:B509,$A10,'Engagement Log'!G10:G509,O$4)</f>
        <v>0</v>
      </c>
      <c r="P10" s="65">
        <f>COUNTIFS('Engagement Log'!B10:B509,$A10,'Engagement Log'!G10:G509,P$4)</f>
        <v>0</v>
      </c>
      <c r="Q10" s="65">
        <f t="shared" si="0"/>
        <v>0</v>
      </c>
    </row>
    <row r="11" spans="1:17" x14ac:dyDescent="0.3">
      <c r="A11" s="64" t="s">
        <v>66</v>
      </c>
      <c r="B11" s="65">
        <f>COUNTIFS('Engagement Log'!B10:B509,$A11,'Engagement Log'!G10:G509,B$4)</f>
        <v>0</v>
      </c>
      <c r="C11" s="65">
        <f>COUNTIFS('Engagement Log'!B10:B509,$A11,'Engagement Log'!G10:G509,C$4)</f>
        <v>0</v>
      </c>
      <c r="D11" s="65">
        <f>COUNTIFS('Engagement Log'!B10:B509,$A11,'Engagement Log'!G10:G509,D$4)</f>
        <v>0</v>
      </c>
      <c r="E11" s="65">
        <f>COUNTIFS('Engagement Log'!B10:B509,$A11,'Engagement Log'!G10:G509,E$4)</f>
        <v>0</v>
      </c>
      <c r="F11" s="65">
        <f>COUNTIFS('Engagement Log'!B10:B509,$A11,'Engagement Log'!G10:G509,F$4)</f>
        <v>1</v>
      </c>
      <c r="G11" s="65">
        <f>COUNTIFS('Engagement Log'!B10:B509,$A11,'Engagement Log'!G10:G509,G$4)</f>
        <v>0</v>
      </c>
      <c r="H11" s="65">
        <f>COUNTIFS('Engagement Log'!B10:B509,$A11,'Engagement Log'!G10:G509,H$4)</f>
        <v>0</v>
      </c>
      <c r="I11" s="65">
        <f>COUNTIFS('Engagement Log'!B10:B509,$A11,'Engagement Log'!G10:G509,I$4)</f>
        <v>0</v>
      </c>
      <c r="J11" s="65">
        <f>COUNTIFS('Engagement Log'!B10:B509,$A11,'Engagement Log'!G10:G509,J$4)</f>
        <v>0</v>
      </c>
      <c r="K11" s="65">
        <f>COUNTIFS('Engagement Log'!B10:B509,$A11,'Engagement Log'!G10:G509,K$4)</f>
        <v>0</v>
      </c>
      <c r="L11" s="65">
        <f>COUNTIFS('Engagement Log'!B10:B509,$A11,'Engagement Log'!G10:G509,L$4)</f>
        <v>0</v>
      </c>
      <c r="M11" s="65">
        <f>COUNTIFS('Engagement Log'!B10:B509,$A11,'Engagement Log'!G10:G509,M$4)</f>
        <v>0</v>
      </c>
      <c r="N11" s="65">
        <f>COUNTIFS('Engagement Log'!B10:B509,$A11,'Engagement Log'!G10:G509,N$4)</f>
        <v>0</v>
      </c>
      <c r="O11" s="65">
        <f>COUNTIFS('Engagement Log'!B10:B509,$A11,'Engagement Log'!G10:G509,O$4)</f>
        <v>0</v>
      </c>
      <c r="P11" s="65">
        <f>COUNTIFS('Engagement Log'!B10:B509,$A11,'Engagement Log'!G10:G509,P$4)</f>
        <v>0</v>
      </c>
      <c r="Q11" s="65">
        <f t="shared" si="0"/>
        <v>1</v>
      </c>
    </row>
    <row r="12" spans="1:17" x14ac:dyDescent="0.3">
      <c r="A12" s="64" t="s">
        <v>103</v>
      </c>
      <c r="B12" s="65">
        <f>COUNTIFS('Engagement Log'!B10:B509,$A12,'Engagement Log'!G10:G509,B$4)</f>
        <v>0</v>
      </c>
      <c r="C12" s="65">
        <f>COUNTIFS('Engagement Log'!B10:B509,$A12,'Engagement Log'!G10:G509,C$4)</f>
        <v>0</v>
      </c>
      <c r="D12" s="65">
        <f>COUNTIFS('Engagement Log'!B10:B509,$A12,'Engagement Log'!G10:G509,D$4)</f>
        <v>0</v>
      </c>
      <c r="E12" s="65">
        <f>COUNTIFS('Engagement Log'!B10:B509,$A12,'Engagement Log'!G10:G509,E$4)</f>
        <v>0</v>
      </c>
      <c r="F12" s="65">
        <f>COUNTIFS('Engagement Log'!B10:B509,$A12,'Engagement Log'!G10:G509,F$4)</f>
        <v>0</v>
      </c>
      <c r="G12" s="65">
        <f>COUNTIFS('Engagement Log'!B10:B509,$A12,'Engagement Log'!G10:G509,G$4)</f>
        <v>0</v>
      </c>
      <c r="H12" s="65">
        <f>COUNTIFS('Engagement Log'!B10:B509,$A12,'Engagement Log'!G10:G509,H$4)</f>
        <v>0</v>
      </c>
      <c r="I12" s="65">
        <f>COUNTIFS('Engagement Log'!B10:B509,$A12,'Engagement Log'!G10:G509,I$4)</f>
        <v>0</v>
      </c>
      <c r="J12" s="65">
        <f>COUNTIFS('Engagement Log'!B10:B509,$A12,'Engagement Log'!G10:G509,J$4)</f>
        <v>0</v>
      </c>
      <c r="K12" s="65">
        <f>COUNTIFS('Engagement Log'!B10:B509,$A12,'Engagement Log'!G10:G509,K$4)</f>
        <v>0</v>
      </c>
      <c r="L12" s="65">
        <f>COUNTIFS('Engagement Log'!B10:B509,$A12,'Engagement Log'!G10:G509,L$4)</f>
        <v>0</v>
      </c>
      <c r="M12" s="65">
        <f>COUNTIFS('Engagement Log'!B10:B509,$A12,'Engagement Log'!G10:G509,M$4)</f>
        <v>0</v>
      </c>
      <c r="N12" s="65">
        <f>COUNTIFS('Engagement Log'!B10:B509,$A12,'Engagement Log'!G10:G509,N$4)</f>
        <v>0</v>
      </c>
      <c r="O12" s="65">
        <f>COUNTIFS('Engagement Log'!B10:B509,$A12,'Engagement Log'!G10:G509,O$4)</f>
        <v>0</v>
      </c>
      <c r="P12" s="65">
        <f>COUNTIFS('Engagement Log'!B10:B509,$A12,'Engagement Log'!G10:G509,P$4)</f>
        <v>0</v>
      </c>
      <c r="Q12" s="65">
        <f t="shared" si="0"/>
        <v>0</v>
      </c>
    </row>
    <row r="13" spans="1:17" x14ac:dyDescent="0.3">
      <c r="A13" s="64" t="s">
        <v>104</v>
      </c>
      <c r="B13" s="65">
        <f>COUNTIFS('Engagement Log'!B10:B509,$A13,'Engagement Log'!G10:G509,B$4)</f>
        <v>0</v>
      </c>
      <c r="C13" s="65">
        <f>COUNTIFS('Engagement Log'!B10:B509,$A13,'Engagement Log'!G10:G509,C$4)</f>
        <v>0</v>
      </c>
      <c r="D13" s="65">
        <f>COUNTIFS('Engagement Log'!B10:B509,$A13,'Engagement Log'!G10:G509,D$4)</f>
        <v>0</v>
      </c>
      <c r="E13" s="65">
        <f>COUNTIFS('Engagement Log'!B10:B509,$A13,'Engagement Log'!G10:G509,E$4)</f>
        <v>0</v>
      </c>
      <c r="F13" s="65">
        <f>COUNTIFS('Engagement Log'!B10:B509,$A13,'Engagement Log'!G10:G509,F$4)</f>
        <v>0</v>
      </c>
      <c r="G13" s="65">
        <f>COUNTIFS('Engagement Log'!B10:B509,$A13,'Engagement Log'!G10:G509,G$4)</f>
        <v>0</v>
      </c>
      <c r="H13" s="65">
        <f>COUNTIFS('Engagement Log'!B10:B509,$A13,'Engagement Log'!G10:G509,H$4)</f>
        <v>0</v>
      </c>
      <c r="I13" s="65">
        <f>COUNTIFS('Engagement Log'!B10:B509,$A13,'Engagement Log'!G10:G509,I$4)</f>
        <v>0</v>
      </c>
      <c r="J13" s="65">
        <f>COUNTIFS('Engagement Log'!B10:B509,$A13,'Engagement Log'!G10:G509,J$4)</f>
        <v>0</v>
      </c>
      <c r="K13" s="65">
        <f>COUNTIFS('Engagement Log'!B10:B509,$A13,'Engagement Log'!G10:G509,K$4)</f>
        <v>0</v>
      </c>
      <c r="L13" s="65">
        <f>COUNTIFS('Engagement Log'!B10:B509,$A13,'Engagement Log'!G10:G509,L$4)</f>
        <v>0</v>
      </c>
      <c r="M13" s="65">
        <f>COUNTIFS('Engagement Log'!B10:B509,$A13,'Engagement Log'!G10:G509,M$4)</f>
        <v>0</v>
      </c>
      <c r="N13" s="65">
        <f>COUNTIFS('Engagement Log'!B10:B509,$A13,'Engagement Log'!G10:G509,N$4)</f>
        <v>0</v>
      </c>
      <c r="O13" s="65">
        <f>COUNTIFS('Engagement Log'!B10:B509,$A13,'Engagement Log'!G10:G509,O$4)</f>
        <v>0</v>
      </c>
      <c r="P13" s="65">
        <f>COUNTIFS('Engagement Log'!B10:B509,$A13,'Engagement Log'!G10:G509,P$4)</f>
        <v>0</v>
      </c>
      <c r="Q13" s="65">
        <f t="shared" si="0"/>
        <v>0</v>
      </c>
    </row>
    <row r="14" spans="1:17" x14ac:dyDescent="0.3">
      <c r="A14" s="64" t="s">
        <v>105</v>
      </c>
      <c r="B14" s="65">
        <f>COUNTIFS('Engagement Log'!B10:B509,$A14,'Engagement Log'!G10:G509,B$4)</f>
        <v>0</v>
      </c>
      <c r="C14" s="65">
        <f>COUNTIFS('Engagement Log'!B10:B509,$A14,'Engagement Log'!G10:G509,C$4)</f>
        <v>0</v>
      </c>
      <c r="D14" s="65">
        <f>COUNTIFS('Engagement Log'!B10:B509,$A14,'Engagement Log'!G10:G509,D$4)</f>
        <v>0</v>
      </c>
      <c r="E14" s="65">
        <f>COUNTIFS('Engagement Log'!B10:B509,$A14,'Engagement Log'!G10:G509,E$4)</f>
        <v>0</v>
      </c>
      <c r="F14" s="65">
        <f>COUNTIFS('Engagement Log'!B10:B509,$A14,'Engagement Log'!G10:G509,F$4)</f>
        <v>0</v>
      </c>
      <c r="G14" s="65">
        <f>COUNTIFS('Engagement Log'!B10:B509,$A14,'Engagement Log'!G10:G509,G$4)</f>
        <v>0</v>
      </c>
      <c r="H14" s="65">
        <f>COUNTIFS('Engagement Log'!B10:B509,$A14,'Engagement Log'!G10:G509,H$4)</f>
        <v>0</v>
      </c>
      <c r="I14" s="65">
        <f>COUNTIFS('Engagement Log'!B10:B509,$A14,'Engagement Log'!G10:G509,I$4)</f>
        <v>0</v>
      </c>
      <c r="J14" s="65">
        <f>COUNTIFS('Engagement Log'!B10:B509,$A14,'Engagement Log'!G10:G509,J$4)</f>
        <v>0</v>
      </c>
      <c r="K14" s="65">
        <f>COUNTIFS('Engagement Log'!B10:B509,$A14,'Engagement Log'!G10:G509,K$4)</f>
        <v>0</v>
      </c>
      <c r="L14" s="65">
        <f>COUNTIFS('Engagement Log'!B10:B509,$A14,'Engagement Log'!G10:G509,L$4)</f>
        <v>0</v>
      </c>
      <c r="M14" s="65">
        <f>COUNTIFS('Engagement Log'!B10:B509,$A14,'Engagement Log'!G10:G509,M$4)</f>
        <v>0</v>
      </c>
      <c r="N14" s="65">
        <f>COUNTIFS('Engagement Log'!B10:B509,$A14,'Engagement Log'!G10:G509,N$4)</f>
        <v>0</v>
      </c>
      <c r="O14" s="65">
        <f>COUNTIFS('Engagement Log'!B10:B509,$A14,'Engagement Log'!G10:G509,O$4)</f>
        <v>0</v>
      </c>
      <c r="P14" s="65">
        <f>COUNTIFS('Engagement Log'!B10:B509,$A14,'Engagement Log'!G10:G509,P$4)</f>
        <v>0</v>
      </c>
      <c r="Q14" s="65">
        <f t="shared" si="0"/>
        <v>0</v>
      </c>
    </row>
    <row r="15" spans="1:17" x14ac:dyDescent="0.3">
      <c r="A15" s="64" t="s">
        <v>106</v>
      </c>
      <c r="B15" s="65">
        <f>COUNTIFS('Engagement Log'!B10:B509,$A15,'Engagement Log'!G10:G509,B$4)</f>
        <v>0</v>
      </c>
      <c r="C15" s="65">
        <f>COUNTIFS('Engagement Log'!B10:B509,$A15,'Engagement Log'!G10:G509,C$4)</f>
        <v>0</v>
      </c>
      <c r="D15" s="65">
        <f>COUNTIFS('Engagement Log'!B10:B509,$A15,'Engagement Log'!G10:G509,D$4)</f>
        <v>0</v>
      </c>
      <c r="E15" s="65">
        <f>COUNTIFS('Engagement Log'!B10:B509,$A15,'Engagement Log'!G10:G509,E$4)</f>
        <v>0</v>
      </c>
      <c r="F15" s="65">
        <f>COUNTIFS('Engagement Log'!B10:B509,$A15,'Engagement Log'!G10:G509,F$4)</f>
        <v>0</v>
      </c>
      <c r="G15" s="65">
        <f>COUNTIFS('Engagement Log'!B10:B509,$A15,'Engagement Log'!G10:G509,G$4)</f>
        <v>0</v>
      </c>
      <c r="H15" s="65">
        <f>COUNTIFS('Engagement Log'!B10:B509,$A15,'Engagement Log'!G10:G509,H$4)</f>
        <v>0</v>
      </c>
      <c r="I15" s="65">
        <f>COUNTIFS('Engagement Log'!B10:B509,$A15,'Engagement Log'!G10:G509,I$4)</f>
        <v>0</v>
      </c>
      <c r="J15" s="65">
        <f>COUNTIFS('Engagement Log'!B10:B509,$A15,'Engagement Log'!G10:G509,J$4)</f>
        <v>0</v>
      </c>
      <c r="K15" s="65">
        <f>COUNTIFS('Engagement Log'!B10:B509,$A15,'Engagement Log'!G10:G509,K$4)</f>
        <v>0</v>
      </c>
      <c r="L15" s="65">
        <f>COUNTIFS('Engagement Log'!B10:B509,$A15,'Engagement Log'!G10:G509,L$4)</f>
        <v>0</v>
      </c>
      <c r="M15" s="65">
        <f>COUNTIFS('Engagement Log'!B10:B509,$A15,'Engagement Log'!G10:G509,M$4)</f>
        <v>0</v>
      </c>
      <c r="N15" s="65">
        <f>COUNTIFS('Engagement Log'!B10:B509,$A15,'Engagement Log'!G10:G509,N$4)</f>
        <v>0</v>
      </c>
      <c r="O15" s="65">
        <f>COUNTIFS('Engagement Log'!B10:B509,$A15,'Engagement Log'!G10:G509,O$4)</f>
        <v>0</v>
      </c>
      <c r="P15" s="65">
        <f>COUNTIFS('Engagement Log'!B10:B509,$A15,'Engagement Log'!G10:G509,P$4)</f>
        <v>0</v>
      </c>
      <c r="Q15" s="65">
        <f t="shared" si="0"/>
        <v>0</v>
      </c>
    </row>
    <row r="16" spans="1:17" x14ac:dyDescent="0.3">
      <c r="A16" s="64" t="s">
        <v>107</v>
      </c>
      <c r="B16" s="65">
        <f>COUNTIFS('Engagement Log'!B10:B509,$A16,'Engagement Log'!G10:G509,B$4)</f>
        <v>0</v>
      </c>
      <c r="C16" s="65">
        <f>COUNTIFS('Engagement Log'!B10:B509,$A16,'Engagement Log'!G10:G509,C$4)</f>
        <v>0</v>
      </c>
      <c r="D16" s="65">
        <f>COUNTIFS('Engagement Log'!B10:B509,$A16,'Engagement Log'!G10:G509,D$4)</f>
        <v>0</v>
      </c>
      <c r="E16" s="65">
        <f>COUNTIFS('Engagement Log'!B10:B509,$A16,'Engagement Log'!G10:G509,E$4)</f>
        <v>0</v>
      </c>
      <c r="F16" s="65">
        <f>COUNTIFS('Engagement Log'!B10:B509,$A16,'Engagement Log'!G10:G509,F$4)</f>
        <v>0</v>
      </c>
      <c r="G16" s="65">
        <f>COUNTIFS('Engagement Log'!B10:B509,$A16,'Engagement Log'!G10:G509,G$4)</f>
        <v>0</v>
      </c>
      <c r="H16" s="65">
        <f>COUNTIFS('Engagement Log'!B10:B509,$A16,'Engagement Log'!G10:G509,H$4)</f>
        <v>0</v>
      </c>
      <c r="I16" s="65">
        <f>COUNTIFS('Engagement Log'!B10:B509,$A16,'Engagement Log'!G10:G509,I$4)</f>
        <v>0</v>
      </c>
      <c r="J16" s="65">
        <f>COUNTIFS('Engagement Log'!B10:B509,$A16,'Engagement Log'!G10:G509,J$4)</f>
        <v>0</v>
      </c>
      <c r="K16" s="65">
        <f>COUNTIFS('Engagement Log'!B10:B509,$A16,'Engagement Log'!G10:G509,K$4)</f>
        <v>0</v>
      </c>
      <c r="L16" s="65">
        <f>COUNTIFS('Engagement Log'!B10:B509,$A16,'Engagement Log'!G10:G509,L$4)</f>
        <v>0</v>
      </c>
      <c r="M16" s="65">
        <f>COUNTIFS('Engagement Log'!B10:B509,$A16,'Engagement Log'!G10:G509,M$4)</f>
        <v>0</v>
      </c>
      <c r="N16" s="65">
        <f>COUNTIFS('Engagement Log'!B10:B509,$A16,'Engagement Log'!G10:G509,N$4)</f>
        <v>0</v>
      </c>
      <c r="O16" s="65">
        <f>COUNTIFS('Engagement Log'!B10:B509,$A16,'Engagement Log'!G10:G509,O$4)</f>
        <v>0</v>
      </c>
      <c r="P16" s="65">
        <f>COUNTIFS('Engagement Log'!B10:B509,$A16,'Engagement Log'!G10:G509,P$4)</f>
        <v>0</v>
      </c>
      <c r="Q16" s="65">
        <f t="shared" si="0"/>
        <v>0</v>
      </c>
    </row>
    <row r="17" spans="1:17" x14ac:dyDescent="0.3">
      <c r="A17" s="64" t="s">
        <v>108</v>
      </c>
      <c r="B17" s="65">
        <f>COUNTIFS('Engagement Log'!B10:B509,$A17,'Engagement Log'!G10:G509,B$4)</f>
        <v>0</v>
      </c>
      <c r="C17" s="65">
        <f>COUNTIFS('Engagement Log'!B10:B509,$A17,'Engagement Log'!G10:G509,C$4)</f>
        <v>0</v>
      </c>
      <c r="D17" s="65">
        <f>COUNTIFS('Engagement Log'!B10:B509,$A17,'Engagement Log'!G10:G509,D$4)</f>
        <v>0</v>
      </c>
      <c r="E17" s="65">
        <f>COUNTIFS('Engagement Log'!B10:B509,$A17,'Engagement Log'!G10:G509,E$4)</f>
        <v>0</v>
      </c>
      <c r="F17" s="65">
        <f>COUNTIFS('Engagement Log'!B10:B509,$A17,'Engagement Log'!G10:G509,F$4)</f>
        <v>0</v>
      </c>
      <c r="G17" s="65">
        <f>COUNTIFS('Engagement Log'!B10:B509,$A17,'Engagement Log'!G10:G509,G$4)</f>
        <v>0</v>
      </c>
      <c r="H17" s="65">
        <f>COUNTIFS('Engagement Log'!B10:B509,$A17,'Engagement Log'!G10:G509,H$4)</f>
        <v>0</v>
      </c>
      <c r="I17" s="65">
        <f>COUNTIFS('Engagement Log'!B10:B509,$A17,'Engagement Log'!G10:G509,I$4)</f>
        <v>0</v>
      </c>
      <c r="J17" s="65">
        <f>COUNTIFS('Engagement Log'!B10:B509,$A17,'Engagement Log'!G10:G509,J$4)</f>
        <v>0</v>
      </c>
      <c r="K17" s="65">
        <f>COUNTIFS('Engagement Log'!B10:B509,$A17,'Engagement Log'!G10:G509,K$4)</f>
        <v>0</v>
      </c>
      <c r="L17" s="65">
        <f>COUNTIFS('Engagement Log'!B10:B509,$A17,'Engagement Log'!G10:G509,L$4)</f>
        <v>0</v>
      </c>
      <c r="M17" s="65">
        <f>COUNTIFS('Engagement Log'!B10:B509,$A17,'Engagement Log'!G10:G509,M$4)</f>
        <v>0</v>
      </c>
      <c r="N17" s="65">
        <f>COUNTIFS('Engagement Log'!B10:B509,$A17,'Engagement Log'!G10:G509,N$4)</f>
        <v>0</v>
      </c>
      <c r="O17" s="65">
        <f>COUNTIFS('Engagement Log'!B10:B509,$A17,'Engagement Log'!G10:G509,O$4)</f>
        <v>0</v>
      </c>
      <c r="P17" s="65">
        <f>COUNTIFS('Engagement Log'!B10:B509,$A17,'Engagement Log'!G10:G509,P$4)</f>
        <v>0</v>
      </c>
      <c r="Q17" s="65">
        <f t="shared" si="0"/>
        <v>0</v>
      </c>
    </row>
    <row r="18" spans="1:17" x14ac:dyDescent="0.3">
      <c r="A18" s="66" t="s">
        <v>109</v>
      </c>
      <c r="B18" s="67">
        <f t="shared" ref="B18:Q18" si="1">SUM(B5:B17)</f>
        <v>0</v>
      </c>
      <c r="C18" s="67">
        <f t="shared" si="1"/>
        <v>1</v>
      </c>
      <c r="D18" s="67">
        <f t="shared" si="1"/>
        <v>1</v>
      </c>
      <c r="E18" s="67">
        <f t="shared" si="1"/>
        <v>0</v>
      </c>
      <c r="F18" s="67">
        <f t="shared" si="1"/>
        <v>1</v>
      </c>
      <c r="G18" s="67">
        <f t="shared" si="1"/>
        <v>0</v>
      </c>
      <c r="H18" s="67">
        <f t="shared" si="1"/>
        <v>0</v>
      </c>
      <c r="I18" s="67">
        <f t="shared" si="1"/>
        <v>0</v>
      </c>
      <c r="J18" s="67">
        <f t="shared" si="1"/>
        <v>0</v>
      </c>
      <c r="K18" s="67">
        <f t="shared" si="1"/>
        <v>0</v>
      </c>
      <c r="L18" s="67">
        <f t="shared" si="1"/>
        <v>0</v>
      </c>
      <c r="M18" s="67">
        <f t="shared" si="1"/>
        <v>0</v>
      </c>
      <c r="N18" s="67">
        <f t="shared" si="1"/>
        <v>0</v>
      </c>
      <c r="O18" s="67">
        <f t="shared" si="1"/>
        <v>0</v>
      </c>
      <c r="P18" s="67">
        <f t="shared" si="1"/>
        <v>0</v>
      </c>
      <c r="Q18" s="67">
        <f t="shared" si="1"/>
        <v>3</v>
      </c>
    </row>
  </sheetData>
  <mergeCells count="2">
    <mergeCell ref="A1:Q1"/>
    <mergeCell ref="A2:Q2"/>
  </mergeCells>
  <conditionalFormatting sqref="B5:P17">
    <cfRule type="colorScale" priority="2">
      <colorScale>
        <cfvo type="num" val="0"/>
        <cfvo type="percentile" val="50"/>
        <cfvo type="max"/>
        <color rgb="FFFFFFFF"/>
        <color rgb="FFFFE699"/>
        <color rgb="FF2E7D32"/>
      </colorScale>
    </cfRule>
  </conditionalFormatting>
  <conditionalFormatting sqref="Q5:Q17">
    <cfRule type="colorScale" priority="3">
      <colorScale>
        <cfvo type="min"/>
        <cfvo type="percentile" val="50"/>
        <cfvo type="max"/>
        <color rgb="FFFFE6E6"/>
        <color rgb="FFFFF4B0"/>
        <color rgb="FFC6EFCE"/>
      </colorScale>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4"/>
  <sheetViews>
    <sheetView showGridLines="0" zoomScaleNormal="100" workbookViewId="0">
      <pane ySplit="4" topLeftCell="A5" activePane="bottomLeft" state="frozen"/>
      <selection pane="bottomLeft" sqref="A1:J1"/>
    </sheetView>
  </sheetViews>
  <sheetFormatPr defaultColWidth="8.6640625" defaultRowHeight="14.4" x14ac:dyDescent="0.3"/>
  <cols>
    <col min="1" max="1" width="14" customWidth="1"/>
    <col min="2" max="2" width="11" customWidth="1"/>
    <col min="3" max="3" width="16" customWidth="1"/>
    <col min="4" max="4" width="32" customWidth="1"/>
    <col min="5" max="5" width="22" customWidth="1"/>
    <col min="6" max="6" width="32" customWidth="1"/>
    <col min="7" max="7" width="18" customWidth="1"/>
    <col min="8" max="8" width="14" customWidth="1"/>
    <col min="9" max="9" width="11" customWidth="1"/>
    <col min="10" max="10" width="16" customWidth="1"/>
  </cols>
  <sheetData>
    <row r="1" spans="1:10" ht="31.5" customHeight="1" x14ac:dyDescent="0.3">
      <c r="A1" s="12" t="s">
        <v>135</v>
      </c>
      <c r="B1" s="12"/>
      <c r="C1" s="12"/>
      <c r="D1" s="12"/>
      <c r="E1" s="12"/>
      <c r="F1" s="12"/>
      <c r="G1" s="12"/>
      <c r="H1" s="12"/>
      <c r="I1" s="12"/>
      <c r="J1" s="12"/>
    </row>
    <row r="2" spans="1:10" ht="21.75" customHeight="1" x14ac:dyDescent="0.3">
      <c r="A2" s="11" t="s">
        <v>136</v>
      </c>
      <c r="B2" s="11"/>
      <c r="C2" s="11"/>
      <c r="D2" s="11"/>
      <c r="E2" s="11"/>
      <c r="F2" s="11"/>
      <c r="G2" s="11"/>
      <c r="H2" s="11"/>
      <c r="I2" s="11"/>
      <c r="J2" s="11"/>
    </row>
    <row r="4" spans="1:10" ht="31.5" customHeight="1" x14ac:dyDescent="0.3">
      <c r="A4" s="27" t="s">
        <v>38</v>
      </c>
      <c r="B4" s="27" t="s">
        <v>137</v>
      </c>
      <c r="C4" s="27" t="s">
        <v>27</v>
      </c>
      <c r="D4" s="27" t="s">
        <v>138</v>
      </c>
      <c r="E4" s="27" t="s">
        <v>32</v>
      </c>
      <c r="F4" s="27" t="s">
        <v>37</v>
      </c>
      <c r="G4" s="27" t="s">
        <v>139</v>
      </c>
      <c r="H4" s="27" t="s">
        <v>39</v>
      </c>
      <c r="I4" s="27" t="s">
        <v>40</v>
      </c>
      <c r="J4" s="27" t="s">
        <v>96</v>
      </c>
    </row>
    <row r="5" spans="1:10" x14ac:dyDescent="0.3">
      <c r="A5" s="68">
        <f ca="1">IF('Engagement Log'!O10="","",'Engagement Log'!O10)</f>
        <v>46181</v>
      </c>
      <c r="B5" s="69">
        <f ca="1">IF('Engagement Log'!O10="","",'Engagement Log'!O10-TODAY())</f>
        <v>-15</v>
      </c>
      <c r="C5" s="70" t="str">
        <f>IF('Engagement Log'!B10="","",'Engagement Log'!B10)</f>
        <v>Accra Main</v>
      </c>
      <c r="D5" s="70" t="str">
        <f>IF('Engagement Log'!D10="","",'Engagement Log'!D10)</f>
        <v>Methodist Church Ghana — Accra Diocese</v>
      </c>
      <c r="E5" s="70" t="str">
        <f>IF('Engagement Log'!G10="","",'Engagement Log'!G10)</f>
        <v>Formal Meeting</v>
      </c>
      <c r="F5" s="70" t="str">
        <f>IF('Engagement Log'!N10="","",'Engagement Log'!N10)</f>
        <v>Send fleet &amp; property quotation</v>
      </c>
      <c r="G5" s="70" t="str">
        <f>IF('Engagement Log'!C10="","",'Engagement Log'!C10)</f>
        <v>[Branch Manager Name]</v>
      </c>
      <c r="H5" s="71" t="str">
        <f>IF('Engagement Log'!P10="","",'Engagement Log'!P10)</f>
        <v>Won</v>
      </c>
      <c r="I5" s="71" t="str">
        <f>IF('Engagement Log'!Q10="","",'Engagement Log'!Q10)</f>
        <v>High</v>
      </c>
      <c r="J5" s="72">
        <f>IF('Engagement Log'!L10="","",'Engagement Log'!L10)</f>
        <v>250000</v>
      </c>
    </row>
    <row r="6" spans="1:10" x14ac:dyDescent="0.3">
      <c r="A6" s="73">
        <f ca="1">IF('Engagement Log'!O11="","",'Engagement Log'!O11)</f>
        <v>46201</v>
      </c>
      <c r="B6" s="74">
        <f ca="1">IF('Engagement Log'!O11="","",'Engagement Log'!O11-TODAY())</f>
        <v>5</v>
      </c>
      <c r="C6" s="75" t="str">
        <f>IF('Engagement Log'!B11="","",'Engagement Log'!B11)</f>
        <v>Kumasi</v>
      </c>
      <c r="D6" s="75" t="str">
        <f>IF('Engagement Log'!D11="","",'Engagement Log'!D11)</f>
        <v>Methodist Hospital Aburaso</v>
      </c>
      <c r="E6" s="75" t="str">
        <f>IF('Engagement Log'!G11="","",'Engagement Log'!G11)</f>
        <v>Presentation</v>
      </c>
      <c r="F6" s="75" t="str">
        <f>IF('Engagement Log'!N11="","",'Engagement Log'!N11)</f>
        <v>Follow up next week with revised premium</v>
      </c>
      <c r="G6" s="75" t="str">
        <f>IF('Engagement Log'!C11="","",'Engagement Log'!C11)</f>
        <v>[Branch Manager Name]</v>
      </c>
      <c r="H6" s="76" t="str">
        <f>IF('Engagement Log'!P11="","",'Engagement Log'!P11)</f>
        <v>In Progress</v>
      </c>
      <c r="I6" s="76" t="str">
        <f>IF('Engagement Log'!Q11="","",'Engagement Log'!Q11)</f>
        <v>High</v>
      </c>
      <c r="J6" s="77">
        <f>IF('Engagement Log'!L11="","",'Engagement Log'!L11)</f>
        <v>180000</v>
      </c>
    </row>
    <row r="7" spans="1:10" x14ac:dyDescent="0.3">
      <c r="A7" s="68">
        <f ca="1">IF('Engagement Log'!O12="","",'Engagement Log'!O12)</f>
        <v>46286</v>
      </c>
      <c r="B7" s="69">
        <f ca="1">IF('Engagement Log'!O12="","",'Engagement Log'!O12-TODAY())</f>
        <v>90</v>
      </c>
      <c r="C7" s="70" t="str">
        <f>IF('Engagement Log'!B12="","",'Engagement Log'!B12)</f>
        <v>Cape Coast</v>
      </c>
      <c r="D7" s="70" t="str">
        <f>IF('Engagement Log'!D12="","",'Engagement Log'!D12)</f>
        <v>Methodist Church Ghana — Cape Coast Diocese</v>
      </c>
      <c r="E7" s="70" t="str">
        <f>IF('Engagement Log'!G12="","",'Engagement Log'!G12)</f>
        <v>Renewal Visit</v>
      </c>
      <c r="F7" s="70" t="str">
        <f>IF('Engagement Log'!N12="","",'Engagement Log'!N12)</f>
        <v>Schedule mid-term service review</v>
      </c>
      <c r="G7" s="70" t="str">
        <f>IF('Engagement Log'!C12="","",'Engagement Log'!C12)</f>
        <v>[Branch Manager Name]</v>
      </c>
      <c r="H7" s="71" t="str">
        <f>IF('Engagement Log'!P12="","",'Engagement Log'!P12)</f>
        <v>Won</v>
      </c>
      <c r="I7" s="71" t="str">
        <f>IF('Engagement Log'!Q12="","",'Engagement Log'!Q12)</f>
        <v>Medium</v>
      </c>
      <c r="J7" s="72">
        <f>IF('Engagement Log'!L12="","",'Engagement Log'!L12)</f>
        <v>0</v>
      </c>
    </row>
    <row r="8" spans="1:10" x14ac:dyDescent="0.3">
      <c r="A8" s="73" t="str">
        <f>IF('Engagement Log'!O13="","",'Engagement Log'!O13)</f>
        <v/>
      </c>
      <c r="B8" s="74" t="str">
        <f ca="1">IF('Engagement Log'!O13="","",'Engagement Log'!O13-TODAY())</f>
        <v/>
      </c>
      <c r="C8" s="75" t="str">
        <f>IF('Engagement Log'!B13="","",'Engagement Log'!B13)</f>
        <v/>
      </c>
      <c r="D8" s="75" t="str">
        <f>IF('Engagement Log'!D13="","",'Engagement Log'!D13)</f>
        <v/>
      </c>
      <c r="E8" s="75" t="str">
        <f>IF('Engagement Log'!G13="","",'Engagement Log'!G13)</f>
        <v/>
      </c>
      <c r="F8" s="75" t="str">
        <f>IF('Engagement Log'!N13="","",'Engagement Log'!N13)</f>
        <v/>
      </c>
      <c r="G8" s="75" t="str">
        <f>IF('Engagement Log'!C13="","",'Engagement Log'!C13)</f>
        <v/>
      </c>
      <c r="H8" s="76" t="str">
        <f>IF('Engagement Log'!P13="","",'Engagement Log'!P13)</f>
        <v/>
      </c>
      <c r="I8" s="76" t="str">
        <f>IF('Engagement Log'!Q13="","",'Engagement Log'!Q13)</f>
        <v/>
      </c>
      <c r="J8" s="77" t="str">
        <f>IF('Engagement Log'!L13="","",'Engagement Log'!L13)</f>
        <v/>
      </c>
    </row>
    <row r="9" spans="1:10" x14ac:dyDescent="0.3">
      <c r="A9" s="68" t="str">
        <f>IF('Engagement Log'!O14="","",'Engagement Log'!O14)</f>
        <v/>
      </c>
      <c r="B9" s="69" t="str">
        <f ca="1">IF('Engagement Log'!O14="","",'Engagement Log'!O14-TODAY())</f>
        <v/>
      </c>
      <c r="C9" s="70" t="str">
        <f>IF('Engagement Log'!B14="","",'Engagement Log'!B14)</f>
        <v/>
      </c>
      <c r="D9" s="70" t="str">
        <f>IF('Engagement Log'!D14="","",'Engagement Log'!D14)</f>
        <v/>
      </c>
      <c r="E9" s="70" t="str">
        <f>IF('Engagement Log'!G14="","",'Engagement Log'!G14)</f>
        <v/>
      </c>
      <c r="F9" s="70" t="str">
        <f>IF('Engagement Log'!N14="","",'Engagement Log'!N14)</f>
        <v/>
      </c>
      <c r="G9" s="70" t="str">
        <f>IF('Engagement Log'!C14="","",'Engagement Log'!C14)</f>
        <v/>
      </c>
      <c r="H9" s="71" t="str">
        <f>IF('Engagement Log'!P14="","",'Engagement Log'!P14)</f>
        <v/>
      </c>
      <c r="I9" s="71" t="str">
        <f>IF('Engagement Log'!Q14="","",'Engagement Log'!Q14)</f>
        <v/>
      </c>
      <c r="J9" s="72" t="str">
        <f>IF('Engagement Log'!L14="","",'Engagement Log'!L14)</f>
        <v/>
      </c>
    </row>
    <row r="10" spans="1:10" x14ac:dyDescent="0.3">
      <c r="A10" s="73" t="str">
        <f>IF('Engagement Log'!O15="","",'Engagement Log'!O15)</f>
        <v/>
      </c>
      <c r="B10" s="74" t="str">
        <f ca="1">IF('Engagement Log'!O15="","",'Engagement Log'!O15-TODAY())</f>
        <v/>
      </c>
      <c r="C10" s="75" t="str">
        <f>IF('Engagement Log'!B15="","",'Engagement Log'!B15)</f>
        <v/>
      </c>
      <c r="D10" s="75" t="str">
        <f>IF('Engagement Log'!D15="","",'Engagement Log'!D15)</f>
        <v/>
      </c>
      <c r="E10" s="75" t="str">
        <f>IF('Engagement Log'!G15="","",'Engagement Log'!G15)</f>
        <v/>
      </c>
      <c r="F10" s="75" t="str">
        <f>IF('Engagement Log'!N15="","",'Engagement Log'!N15)</f>
        <v/>
      </c>
      <c r="G10" s="75" t="str">
        <f>IF('Engagement Log'!C15="","",'Engagement Log'!C15)</f>
        <v/>
      </c>
      <c r="H10" s="76" t="str">
        <f>IF('Engagement Log'!P15="","",'Engagement Log'!P15)</f>
        <v/>
      </c>
      <c r="I10" s="76" t="str">
        <f>IF('Engagement Log'!Q15="","",'Engagement Log'!Q15)</f>
        <v/>
      </c>
      <c r="J10" s="77" t="str">
        <f>IF('Engagement Log'!L15="","",'Engagement Log'!L15)</f>
        <v/>
      </c>
    </row>
    <row r="11" spans="1:10" x14ac:dyDescent="0.3">
      <c r="A11" s="68" t="str">
        <f>IF('Engagement Log'!O16="","",'Engagement Log'!O16)</f>
        <v/>
      </c>
      <c r="B11" s="69" t="str">
        <f ca="1">IF('Engagement Log'!O16="","",'Engagement Log'!O16-TODAY())</f>
        <v/>
      </c>
      <c r="C11" s="70" t="str">
        <f>IF('Engagement Log'!B16="","",'Engagement Log'!B16)</f>
        <v/>
      </c>
      <c r="D11" s="70" t="str">
        <f>IF('Engagement Log'!D16="","",'Engagement Log'!D16)</f>
        <v/>
      </c>
      <c r="E11" s="70" t="str">
        <f>IF('Engagement Log'!G16="","",'Engagement Log'!G16)</f>
        <v/>
      </c>
      <c r="F11" s="70" t="str">
        <f>IF('Engagement Log'!N16="","",'Engagement Log'!N16)</f>
        <v/>
      </c>
      <c r="G11" s="70" t="str">
        <f>IF('Engagement Log'!C16="","",'Engagement Log'!C16)</f>
        <v/>
      </c>
      <c r="H11" s="71" t="str">
        <f>IF('Engagement Log'!P16="","",'Engagement Log'!P16)</f>
        <v/>
      </c>
      <c r="I11" s="71" t="str">
        <f>IF('Engagement Log'!Q16="","",'Engagement Log'!Q16)</f>
        <v/>
      </c>
      <c r="J11" s="72" t="str">
        <f>IF('Engagement Log'!L16="","",'Engagement Log'!L16)</f>
        <v/>
      </c>
    </row>
    <row r="12" spans="1:10" x14ac:dyDescent="0.3">
      <c r="A12" s="73" t="str">
        <f>IF('Engagement Log'!O17="","",'Engagement Log'!O17)</f>
        <v/>
      </c>
      <c r="B12" s="74" t="str">
        <f ca="1">IF('Engagement Log'!O17="","",'Engagement Log'!O17-TODAY())</f>
        <v/>
      </c>
      <c r="C12" s="75" t="str">
        <f>IF('Engagement Log'!B17="","",'Engagement Log'!B17)</f>
        <v/>
      </c>
      <c r="D12" s="75" t="str">
        <f>IF('Engagement Log'!D17="","",'Engagement Log'!D17)</f>
        <v/>
      </c>
      <c r="E12" s="75" t="str">
        <f>IF('Engagement Log'!G17="","",'Engagement Log'!G17)</f>
        <v/>
      </c>
      <c r="F12" s="75" t="str">
        <f>IF('Engagement Log'!N17="","",'Engagement Log'!N17)</f>
        <v/>
      </c>
      <c r="G12" s="75" t="str">
        <f>IF('Engagement Log'!C17="","",'Engagement Log'!C17)</f>
        <v/>
      </c>
      <c r="H12" s="76" t="str">
        <f>IF('Engagement Log'!P17="","",'Engagement Log'!P17)</f>
        <v/>
      </c>
      <c r="I12" s="76" t="str">
        <f>IF('Engagement Log'!Q17="","",'Engagement Log'!Q17)</f>
        <v/>
      </c>
      <c r="J12" s="77" t="str">
        <f>IF('Engagement Log'!L17="","",'Engagement Log'!L17)</f>
        <v/>
      </c>
    </row>
    <row r="13" spans="1:10" x14ac:dyDescent="0.3">
      <c r="A13" s="68" t="str">
        <f>IF('Engagement Log'!O18="","",'Engagement Log'!O18)</f>
        <v/>
      </c>
      <c r="B13" s="69" t="str">
        <f ca="1">IF('Engagement Log'!O18="","",'Engagement Log'!O18-TODAY())</f>
        <v/>
      </c>
      <c r="C13" s="70" t="str">
        <f>IF('Engagement Log'!B18="","",'Engagement Log'!B18)</f>
        <v/>
      </c>
      <c r="D13" s="70" t="str">
        <f>IF('Engagement Log'!D18="","",'Engagement Log'!D18)</f>
        <v/>
      </c>
      <c r="E13" s="70" t="str">
        <f>IF('Engagement Log'!G18="","",'Engagement Log'!G18)</f>
        <v/>
      </c>
      <c r="F13" s="70" t="str">
        <f>IF('Engagement Log'!N18="","",'Engagement Log'!N18)</f>
        <v/>
      </c>
      <c r="G13" s="70" t="str">
        <f>IF('Engagement Log'!C18="","",'Engagement Log'!C18)</f>
        <v/>
      </c>
      <c r="H13" s="71" t="str">
        <f>IF('Engagement Log'!P18="","",'Engagement Log'!P18)</f>
        <v/>
      </c>
      <c r="I13" s="71" t="str">
        <f>IF('Engagement Log'!Q18="","",'Engagement Log'!Q18)</f>
        <v/>
      </c>
      <c r="J13" s="72" t="str">
        <f>IF('Engagement Log'!L18="","",'Engagement Log'!L18)</f>
        <v/>
      </c>
    </row>
    <row r="14" spans="1:10" x14ac:dyDescent="0.3">
      <c r="A14" s="73" t="str">
        <f>IF('Engagement Log'!O19="","",'Engagement Log'!O19)</f>
        <v/>
      </c>
      <c r="B14" s="74" t="str">
        <f ca="1">IF('Engagement Log'!O19="","",'Engagement Log'!O19-TODAY())</f>
        <v/>
      </c>
      <c r="C14" s="75" t="str">
        <f>IF('Engagement Log'!B19="","",'Engagement Log'!B19)</f>
        <v/>
      </c>
      <c r="D14" s="75" t="str">
        <f>IF('Engagement Log'!D19="","",'Engagement Log'!D19)</f>
        <v/>
      </c>
      <c r="E14" s="75" t="str">
        <f>IF('Engagement Log'!G19="","",'Engagement Log'!G19)</f>
        <v/>
      </c>
      <c r="F14" s="75" t="str">
        <f>IF('Engagement Log'!N19="","",'Engagement Log'!N19)</f>
        <v/>
      </c>
      <c r="G14" s="75" t="str">
        <f>IF('Engagement Log'!C19="","",'Engagement Log'!C19)</f>
        <v/>
      </c>
      <c r="H14" s="76" t="str">
        <f>IF('Engagement Log'!P19="","",'Engagement Log'!P19)</f>
        <v/>
      </c>
      <c r="I14" s="76" t="str">
        <f>IF('Engagement Log'!Q19="","",'Engagement Log'!Q19)</f>
        <v/>
      </c>
      <c r="J14" s="77" t="str">
        <f>IF('Engagement Log'!L19="","",'Engagement Log'!L19)</f>
        <v/>
      </c>
    </row>
    <row r="15" spans="1:10" x14ac:dyDescent="0.3">
      <c r="A15" s="68" t="str">
        <f>IF('Engagement Log'!O20="","",'Engagement Log'!O20)</f>
        <v/>
      </c>
      <c r="B15" s="69" t="str">
        <f ca="1">IF('Engagement Log'!O20="","",'Engagement Log'!O20-TODAY())</f>
        <v/>
      </c>
      <c r="C15" s="70" t="str">
        <f>IF('Engagement Log'!B20="","",'Engagement Log'!B20)</f>
        <v/>
      </c>
      <c r="D15" s="70" t="str">
        <f>IF('Engagement Log'!D20="","",'Engagement Log'!D20)</f>
        <v/>
      </c>
      <c r="E15" s="70" t="str">
        <f>IF('Engagement Log'!G20="","",'Engagement Log'!G20)</f>
        <v/>
      </c>
      <c r="F15" s="70" t="str">
        <f>IF('Engagement Log'!N20="","",'Engagement Log'!N20)</f>
        <v/>
      </c>
      <c r="G15" s="70" t="str">
        <f>IF('Engagement Log'!C20="","",'Engagement Log'!C20)</f>
        <v/>
      </c>
      <c r="H15" s="71" t="str">
        <f>IF('Engagement Log'!P20="","",'Engagement Log'!P20)</f>
        <v/>
      </c>
      <c r="I15" s="71" t="str">
        <f>IF('Engagement Log'!Q20="","",'Engagement Log'!Q20)</f>
        <v/>
      </c>
      <c r="J15" s="72" t="str">
        <f>IF('Engagement Log'!L20="","",'Engagement Log'!L20)</f>
        <v/>
      </c>
    </row>
    <row r="16" spans="1:10" x14ac:dyDescent="0.3">
      <c r="A16" s="73" t="str">
        <f>IF('Engagement Log'!O21="","",'Engagement Log'!O21)</f>
        <v/>
      </c>
      <c r="B16" s="74" t="str">
        <f ca="1">IF('Engagement Log'!O21="","",'Engagement Log'!O21-TODAY())</f>
        <v/>
      </c>
      <c r="C16" s="75" t="str">
        <f>IF('Engagement Log'!B21="","",'Engagement Log'!B21)</f>
        <v/>
      </c>
      <c r="D16" s="75" t="str">
        <f>IF('Engagement Log'!D21="","",'Engagement Log'!D21)</f>
        <v/>
      </c>
      <c r="E16" s="75" t="str">
        <f>IF('Engagement Log'!G21="","",'Engagement Log'!G21)</f>
        <v/>
      </c>
      <c r="F16" s="75" t="str">
        <f>IF('Engagement Log'!N21="","",'Engagement Log'!N21)</f>
        <v/>
      </c>
      <c r="G16" s="75" t="str">
        <f>IF('Engagement Log'!C21="","",'Engagement Log'!C21)</f>
        <v/>
      </c>
      <c r="H16" s="76" t="str">
        <f>IF('Engagement Log'!P21="","",'Engagement Log'!P21)</f>
        <v/>
      </c>
      <c r="I16" s="76" t="str">
        <f>IF('Engagement Log'!Q21="","",'Engagement Log'!Q21)</f>
        <v/>
      </c>
      <c r="J16" s="77" t="str">
        <f>IF('Engagement Log'!L21="","",'Engagement Log'!L21)</f>
        <v/>
      </c>
    </row>
    <row r="17" spans="1:10" x14ac:dyDescent="0.3">
      <c r="A17" s="68" t="str">
        <f>IF('Engagement Log'!O22="","",'Engagement Log'!O22)</f>
        <v/>
      </c>
      <c r="B17" s="69" t="str">
        <f ca="1">IF('Engagement Log'!O22="","",'Engagement Log'!O22-TODAY())</f>
        <v/>
      </c>
      <c r="C17" s="70" t="str">
        <f>IF('Engagement Log'!B22="","",'Engagement Log'!B22)</f>
        <v/>
      </c>
      <c r="D17" s="70" t="str">
        <f>IF('Engagement Log'!D22="","",'Engagement Log'!D22)</f>
        <v/>
      </c>
      <c r="E17" s="70" t="str">
        <f>IF('Engagement Log'!G22="","",'Engagement Log'!G22)</f>
        <v/>
      </c>
      <c r="F17" s="70" t="str">
        <f>IF('Engagement Log'!N22="","",'Engagement Log'!N22)</f>
        <v/>
      </c>
      <c r="G17" s="70" t="str">
        <f>IF('Engagement Log'!C22="","",'Engagement Log'!C22)</f>
        <v/>
      </c>
      <c r="H17" s="71" t="str">
        <f>IF('Engagement Log'!P22="","",'Engagement Log'!P22)</f>
        <v/>
      </c>
      <c r="I17" s="71" t="str">
        <f>IF('Engagement Log'!Q22="","",'Engagement Log'!Q22)</f>
        <v/>
      </c>
      <c r="J17" s="72" t="str">
        <f>IF('Engagement Log'!L22="","",'Engagement Log'!L22)</f>
        <v/>
      </c>
    </row>
    <row r="18" spans="1:10" x14ac:dyDescent="0.3">
      <c r="A18" s="73" t="str">
        <f>IF('Engagement Log'!O23="","",'Engagement Log'!O23)</f>
        <v/>
      </c>
      <c r="B18" s="74" t="str">
        <f ca="1">IF('Engagement Log'!O23="","",'Engagement Log'!O23-TODAY())</f>
        <v/>
      </c>
      <c r="C18" s="75" t="str">
        <f>IF('Engagement Log'!B23="","",'Engagement Log'!B23)</f>
        <v/>
      </c>
      <c r="D18" s="75" t="str">
        <f>IF('Engagement Log'!D23="","",'Engagement Log'!D23)</f>
        <v/>
      </c>
      <c r="E18" s="75" t="str">
        <f>IF('Engagement Log'!G23="","",'Engagement Log'!G23)</f>
        <v/>
      </c>
      <c r="F18" s="75" t="str">
        <f>IF('Engagement Log'!N23="","",'Engagement Log'!N23)</f>
        <v/>
      </c>
      <c r="G18" s="75" t="str">
        <f>IF('Engagement Log'!C23="","",'Engagement Log'!C23)</f>
        <v/>
      </c>
      <c r="H18" s="76" t="str">
        <f>IF('Engagement Log'!P23="","",'Engagement Log'!P23)</f>
        <v/>
      </c>
      <c r="I18" s="76" t="str">
        <f>IF('Engagement Log'!Q23="","",'Engagement Log'!Q23)</f>
        <v/>
      </c>
      <c r="J18" s="77" t="str">
        <f>IF('Engagement Log'!L23="","",'Engagement Log'!L23)</f>
        <v/>
      </c>
    </row>
    <row r="19" spans="1:10" x14ac:dyDescent="0.3">
      <c r="A19" s="68" t="str">
        <f>IF('Engagement Log'!O24="","",'Engagement Log'!O24)</f>
        <v/>
      </c>
      <c r="B19" s="69" t="str">
        <f ca="1">IF('Engagement Log'!O24="","",'Engagement Log'!O24-TODAY())</f>
        <v/>
      </c>
      <c r="C19" s="70" t="str">
        <f>IF('Engagement Log'!B24="","",'Engagement Log'!B24)</f>
        <v/>
      </c>
      <c r="D19" s="70" t="str">
        <f>IF('Engagement Log'!D24="","",'Engagement Log'!D24)</f>
        <v/>
      </c>
      <c r="E19" s="70" t="str">
        <f>IF('Engagement Log'!G24="","",'Engagement Log'!G24)</f>
        <v/>
      </c>
      <c r="F19" s="70" t="str">
        <f>IF('Engagement Log'!N24="","",'Engagement Log'!N24)</f>
        <v/>
      </c>
      <c r="G19" s="70" t="str">
        <f>IF('Engagement Log'!C24="","",'Engagement Log'!C24)</f>
        <v/>
      </c>
      <c r="H19" s="71" t="str">
        <f>IF('Engagement Log'!P24="","",'Engagement Log'!P24)</f>
        <v/>
      </c>
      <c r="I19" s="71" t="str">
        <f>IF('Engagement Log'!Q24="","",'Engagement Log'!Q24)</f>
        <v/>
      </c>
      <c r="J19" s="72" t="str">
        <f>IF('Engagement Log'!L24="","",'Engagement Log'!L24)</f>
        <v/>
      </c>
    </row>
    <row r="20" spans="1:10" x14ac:dyDescent="0.3">
      <c r="A20" s="73" t="str">
        <f>IF('Engagement Log'!O25="","",'Engagement Log'!O25)</f>
        <v/>
      </c>
      <c r="B20" s="74" t="str">
        <f ca="1">IF('Engagement Log'!O25="","",'Engagement Log'!O25-TODAY())</f>
        <v/>
      </c>
      <c r="C20" s="75" t="str">
        <f>IF('Engagement Log'!B25="","",'Engagement Log'!B25)</f>
        <v/>
      </c>
      <c r="D20" s="75" t="str">
        <f>IF('Engagement Log'!D25="","",'Engagement Log'!D25)</f>
        <v/>
      </c>
      <c r="E20" s="75" t="str">
        <f>IF('Engagement Log'!G25="","",'Engagement Log'!G25)</f>
        <v/>
      </c>
      <c r="F20" s="75" t="str">
        <f>IF('Engagement Log'!N25="","",'Engagement Log'!N25)</f>
        <v/>
      </c>
      <c r="G20" s="75" t="str">
        <f>IF('Engagement Log'!C25="","",'Engagement Log'!C25)</f>
        <v/>
      </c>
      <c r="H20" s="76" t="str">
        <f>IF('Engagement Log'!P25="","",'Engagement Log'!P25)</f>
        <v/>
      </c>
      <c r="I20" s="76" t="str">
        <f>IF('Engagement Log'!Q25="","",'Engagement Log'!Q25)</f>
        <v/>
      </c>
      <c r="J20" s="77" t="str">
        <f>IF('Engagement Log'!L25="","",'Engagement Log'!L25)</f>
        <v/>
      </c>
    </row>
    <row r="21" spans="1:10" x14ac:dyDescent="0.3">
      <c r="A21" s="68" t="str">
        <f>IF('Engagement Log'!O26="","",'Engagement Log'!O26)</f>
        <v/>
      </c>
      <c r="B21" s="69" t="str">
        <f ca="1">IF('Engagement Log'!O26="","",'Engagement Log'!O26-TODAY())</f>
        <v/>
      </c>
      <c r="C21" s="70" t="str">
        <f>IF('Engagement Log'!B26="","",'Engagement Log'!B26)</f>
        <v/>
      </c>
      <c r="D21" s="70" t="str">
        <f>IF('Engagement Log'!D26="","",'Engagement Log'!D26)</f>
        <v/>
      </c>
      <c r="E21" s="70" t="str">
        <f>IF('Engagement Log'!G26="","",'Engagement Log'!G26)</f>
        <v/>
      </c>
      <c r="F21" s="70" t="str">
        <f>IF('Engagement Log'!N26="","",'Engagement Log'!N26)</f>
        <v/>
      </c>
      <c r="G21" s="70" t="str">
        <f>IF('Engagement Log'!C26="","",'Engagement Log'!C26)</f>
        <v/>
      </c>
      <c r="H21" s="71" t="str">
        <f>IF('Engagement Log'!P26="","",'Engagement Log'!P26)</f>
        <v/>
      </c>
      <c r="I21" s="71" t="str">
        <f>IF('Engagement Log'!Q26="","",'Engagement Log'!Q26)</f>
        <v/>
      </c>
      <c r="J21" s="72" t="str">
        <f>IF('Engagement Log'!L26="","",'Engagement Log'!L26)</f>
        <v/>
      </c>
    </row>
    <row r="22" spans="1:10" x14ac:dyDescent="0.3">
      <c r="A22" s="73" t="str">
        <f>IF('Engagement Log'!O27="","",'Engagement Log'!O27)</f>
        <v/>
      </c>
      <c r="B22" s="74" t="str">
        <f ca="1">IF('Engagement Log'!O27="","",'Engagement Log'!O27-TODAY())</f>
        <v/>
      </c>
      <c r="C22" s="75" t="str">
        <f>IF('Engagement Log'!B27="","",'Engagement Log'!B27)</f>
        <v/>
      </c>
      <c r="D22" s="75" t="str">
        <f>IF('Engagement Log'!D27="","",'Engagement Log'!D27)</f>
        <v/>
      </c>
      <c r="E22" s="75" t="str">
        <f>IF('Engagement Log'!G27="","",'Engagement Log'!G27)</f>
        <v/>
      </c>
      <c r="F22" s="75" t="str">
        <f>IF('Engagement Log'!N27="","",'Engagement Log'!N27)</f>
        <v/>
      </c>
      <c r="G22" s="75" t="str">
        <f>IF('Engagement Log'!C27="","",'Engagement Log'!C27)</f>
        <v/>
      </c>
      <c r="H22" s="76" t="str">
        <f>IF('Engagement Log'!P27="","",'Engagement Log'!P27)</f>
        <v/>
      </c>
      <c r="I22" s="76" t="str">
        <f>IF('Engagement Log'!Q27="","",'Engagement Log'!Q27)</f>
        <v/>
      </c>
      <c r="J22" s="77" t="str">
        <f>IF('Engagement Log'!L27="","",'Engagement Log'!L27)</f>
        <v/>
      </c>
    </row>
    <row r="23" spans="1:10" x14ac:dyDescent="0.3">
      <c r="A23" s="68" t="str">
        <f>IF('Engagement Log'!O28="","",'Engagement Log'!O28)</f>
        <v/>
      </c>
      <c r="B23" s="69" t="str">
        <f ca="1">IF('Engagement Log'!O28="","",'Engagement Log'!O28-TODAY())</f>
        <v/>
      </c>
      <c r="C23" s="70" t="str">
        <f>IF('Engagement Log'!B28="","",'Engagement Log'!B28)</f>
        <v/>
      </c>
      <c r="D23" s="70" t="str">
        <f>IF('Engagement Log'!D28="","",'Engagement Log'!D28)</f>
        <v/>
      </c>
      <c r="E23" s="70" t="str">
        <f>IF('Engagement Log'!G28="","",'Engagement Log'!G28)</f>
        <v/>
      </c>
      <c r="F23" s="70" t="str">
        <f>IF('Engagement Log'!N28="","",'Engagement Log'!N28)</f>
        <v/>
      </c>
      <c r="G23" s="70" t="str">
        <f>IF('Engagement Log'!C28="","",'Engagement Log'!C28)</f>
        <v/>
      </c>
      <c r="H23" s="71" t="str">
        <f>IF('Engagement Log'!P28="","",'Engagement Log'!P28)</f>
        <v/>
      </c>
      <c r="I23" s="71" t="str">
        <f>IF('Engagement Log'!Q28="","",'Engagement Log'!Q28)</f>
        <v/>
      </c>
      <c r="J23" s="72" t="str">
        <f>IF('Engagement Log'!L28="","",'Engagement Log'!L28)</f>
        <v/>
      </c>
    </row>
    <row r="24" spans="1:10" x14ac:dyDescent="0.3">
      <c r="A24" s="73" t="str">
        <f>IF('Engagement Log'!O29="","",'Engagement Log'!O29)</f>
        <v/>
      </c>
      <c r="B24" s="74" t="str">
        <f ca="1">IF('Engagement Log'!O29="","",'Engagement Log'!O29-TODAY())</f>
        <v/>
      </c>
      <c r="C24" s="75" t="str">
        <f>IF('Engagement Log'!B29="","",'Engagement Log'!B29)</f>
        <v/>
      </c>
      <c r="D24" s="75" t="str">
        <f>IF('Engagement Log'!D29="","",'Engagement Log'!D29)</f>
        <v/>
      </c>
      <c r="E24" s="75" t="str">
        <f>IF('Engagement Log'!G29="","",'Engagement Log'!G29)</f>
        <v/>
      </c>
      <c r="F24" s="75" t="str">
        <f>IF('Engagement Log'!N29="","",'Engagement Log'!N29)</f>
        <v/>
      </c>
      <c r="G24" s="75" t="str">
        <f>IF('Engagement Log'!C29="","",'Engagement Log'!C29)</f>
        <v/>
      </c>
      <c r="H24" s="76" t="str">
        <f>IF('Engagement Log'!P29="","",'Engagement Log'!P29)</f>
        <v/>
      </c>
      <c r="I24" s="76" t="str">
        <f>IF('Engagement Log'!Q29="","",'Engagement Log'!Q29)</f>
        <v/>
      </c>
      <c r="J24" s="77" t="str">
        <f>IF('Engagement Log'!L29="","",'Engagement Log'!L29)</f>
        <v/>
      </c>
    </row>
    <row r="25" spans="1:10" x14ac:dyDescent="0.3">
      <c r="A25" s="68" t="str">
        <f>IF('Engagement Log'!O30="","",'Engagement Log'!O30)</f>
        <v/>
      </c>
      <c r="B25" s="69" t="str">
        <f ca="1">IF('Engagement Log'!O30="","",'Engagement Log'!O30-TODAY())</f>
        <v/>
      </c>
      <c r="C25" s="70" t="str">
        <f>IF('Engagement Log'!B30="","",'Engagement Log'!B30)</f>
        <v/>
      </c>
      <c r="D25" s="70" t="str">
        <f>IF('Engagement Log'!D30="","",'Engagement Log'!D30)</f>
        <v/>
      </c>
      <c r="E25" s="70" t="str">
        <f>IF('Engagement Log'!G30="","",'Engagement Log'!G30)</f>
        <v/>
      </c>
      <c r="F25" s="70" t="str">
        <f>IF('Engagement Log'!N30="","",'Engagement Log'!N30)</f>
        <v/>
      </c>
      <c r="G25" s="70" t="str">
        <f>IF('Engagement Log'!C30="","",'Engagement Log'!C30)</f>
        <v/>
      </c>
      <c r="H25" s="71" t="str">
        <f>IF('Engagement Log'!P30="","",'Engagement Log'!P30)</f>
        <v/>
      </c>
      <c r="I25" s="71" t="str">
        <f>IF('Engagement Log'!Q30="","",'Engagement Log'!Q30)</f>
        <v/>
      </c>
      <c r="J25" s="72" t="str">
        <f>IF('Engagement Log'!L30="","",'Engagement Log'!L30)</f>
        <v/>
      </c>
    </row>
    <row r="26" spans="1:10" x14ac:dyDescent="0.3">
      <c r="A26" s="73" t="str">
        <f>IF('Engagement Log'!O31="","",'Engagement Log'!O31)</f>
        <v/>
      </c>
      <c r="B26" s="74" t="str">
        <f ca="1">IF('Engagement Log'!O31="","",'Engagement Log'!O31-TODAY())</f>
        <v/>
      </c>
      <c r="C26" s="75" t="str">
        <f>IF('Engagement Log'!B31="","",'Engagement Log'!B31)</f>
        <v/>
      </c>
      <c r="D26" s="75" t="str">
        <f>IF('Engagement Log'!D31="","",'Engagement Log'!D31)</f>
        <v/>
      </c>
      <c r="E26" s="75" t="str">
        <f>IF('Engagement Log'!G31="","",'Engagement Log'!G31)</f>
        <v/>
      </c>
      <c r="F26" s="75" t="str">
        <f>IF('Engagement Log'!N31="","",'Engagement Log'!N31)</f>
        <v/>
      </c>
      <c r="G26" s="75" t="str">
        <f>IF('Engagement Log'!C31="","",'Engagement Log'!C31)</f>
        <v/>
      </c>
      <c r="H26" s="76" t="str">
        <f>IF('Engagement Log'!P31="","",'Engagement Log'!P31)</f>
        <v/>
      </c>
      <c r="I26" s="76" t="str">
        <f>IF('Engagement Log'!Q31="","",'Engagement Log'!Q31)</f>
        <v/>
      </c>
      <c r="J26" s="77" t="str">
        <f>IF('Engagement Log'!L31="","",'Engagement Log'!L31)</f>
        <v/>
      </c>
    </row>
    <row r="27" spans="1:10" x14ac:dyDescent="0.3">
      <c r="A27" s="68" t="str">
        <f>IF('Engagement Log'!O32="","",'Engagement Log'!O32)</f>
        <v/>
      </c>
      <c r="B27" s="69" t="str">
        <f ca="1">IF('Engagement Log'!O32="","",'Engagement Log'!O32-TODAY())</f>
        <v/>
      </c>
      <c r="C27" s="70" t="str">
        <f>IF('Engagement Log'!B32="","",'Engagement Log'!B32)</f>
        <v/>
      </c>
      <c r="D27" s="70" t="str">
        <f>IF('Engagement Log'!D32="","",'Engagement Log'!D32)</f>
        <v/>
      </c>
      <c r="E27" s="70" t="str">
        <f>IF('Engagement Log'!G32="","",'Engagement Log'!G32)</f>
        <v/>
      </c>
      <c r="F27" s="70" t="str">
        <f>IF('Engagement Log'!N32="","",'Engagement Log'!N32)</f>
        <v/>
      </c>
      <c r="G27" s="70" t="str">
        <f>IF('Engagement Log'!C32="","",'Engagement Log'!C32)</f>
        <v/>
      </c>
      <c r="H27" s="71" t="str">
        <f>IF('Engagement Log'!P32="","",'Engagement Log'!P32)</f>
        <v/>
      </c>
      <c r="I27" s="71" t="str">
        <f>IF('Engagement Log'!Q32="","",'Engagement Log'!Q32)</f>
        <v/>
      </c>
      <c r="J27" s="72" t="str">
        <f>IF('Engagement Log'!L32="","",'Engagement Log'!L32)</f>
        <v/>
      </c>
    </row>
    <row r="28" spans="1:10" x14ac:dyDescent="0.3">
      <c r="A28" s="73" t="str">
        <f>IF('Engagement Log'!O33="","",'Engagement Log'!O33)</f>
        <v/>
      </c>
      <c r="B28" s="74" t="str">
        <f ca="1">IF('Engagement Log'!O33="","",'Engagement Log'!O33-TODAY())</f>
        <v/>
      </c>
      <c r="C28" s="75" t="str">
        <f>IF('Engagement Log'!B33="","",'Engagement Log'!B33)</f>
        <v/>
      </c>
      <c r="D28" s="75" t="str">
        <f>IF('Engagement Log'!D33="","",'Engagement Log'!D33)</f>
        <v/>
      </c>
      <c r="E28" s="75" t="str">
        <f>IF('Engagement Log'!G33="","",'Engagement Log'!G33)</f>
        <v/>
      </c>
      <c r="F28" s="75" t="str">
        <f>IF('Engagement Log'!N33="","",'Engagement Log'!N33)</f>
        <v/>
      </c>
      <c r="G28" s="75" t="str">
        <f>IF('Engagement Log'!C33="","",'Engagement Log'!C33)</f>
        <v/>
      </c>
      <c r="H28" s="76" t="str">
        <f>IF('Engagement Log'!P33="","",'Engagement Log'!P33)</f>
        <v/>
      </c>
      <c r="I28" s="76" t="str">
        <f>IF('Engagement Log'!Q33="","",'Engagement Log'!Q33)</f>
        <v/>
      </c>
      <c r="J28" s="77" t="str">
        <f>IF('Engagement Log'!L33="","",'Engagement Log'!L33)</f>
        <v/>
      </c>
    </row>
    <row r="29" spans="1:10" x14ac:dyDescent="0.3">
      <c r="A29" s="68" t="str">
        <f>IF('Engagement Log'!O34="","",'Engagement Log'!O34)</f>
        <v/>
      </c>
      <c r="B29" s="69" t="str">
        <f ca="1">IF('Engagement Log'!O34="","",'Engagement Log'!O34-TODAY())</f>
        <v/>
      </c>
      <c r="C29" s="70" t="str">
        <f>IF('Engagement Log'!B34="","",'Engagement Log'!B34)</f>
        <v/>
      </c>
      <c r="D29" s="70" t="str">
        <f>IF('Engagement Log'!D34="","",'Engagement Log'!D34)</f>
        <v/>
      </c>
      <c r="E29" s="70" t="str">
        <f>IF('Engagement Log'!G34="","",'Engagement Log'!G34)</f>
        <v/>
      </c>
      <c r="F29" s="70" t="str">
        <f>IF('Engagement Log'!N34="","",'Engagement Log'!N34)</f>
        <v/>
      </c>
      <c r="G29" s="70" t="str">
        <f>IF('Engagement Log'!C34="","",'Engagement Log'!C34)</f>
        <v/>
      </c>
      <c r="H29" s="71" t="str">
        <f>IF('Engagement Log'!P34="","",'Engagement Log'!P34)</f>
        <v/>
      </c>
      <c r="I29" s="71" t="str">
        <f>IF('Engagement Log'!Q34="","",'Engagement Log'!Q34)</f>
        <v/>
      </c>
      <c r="J29" s="72" t="str">
        <f>IF('Engagement Log'!L34="","",'Engagement Log'!L34)</f>
        <v/>
      </c>
    </row>
    <row r="30" spans="1:10" x14ac:dyDescent="0.3">
      <c r="A30" s="73" t="str">
        <f>IF('Engagement Log'!O35="","",'Engagement Log'!O35)</f>
        <v/>
      </c>
      <c r="B30" s="74" t="str">
        <f ca="1">IF('Engagement Log'!O35="","",'Engagement Log'!O35-TODAY())</f>
        <v/>
      </c>
      <c r="C30" s="75" t="str">
        <f>IF('Engagement Log'!B35="","",'Engagement Log'!B35)</f>
        <v/>
      </c>
      <c r="D30" s="75" t="str">
        <f>IF('Engagement Log'!D35="","",'Engagement Log'!D35)</f>
        <v/>
      </c>
      <c r="E30" s="75" t="str">
        <f>IF('Engagement Log'!G35="","",'Engagement Log'!G35)</f>
        <v/>
      </c>
      <c r="F30" s="75" t="str">
        <f>IF('Engagement Log'!N35="","",'Engagement Log'!N35)</f>
        <v/>
      </c>
      <c r="G30" s="75" t="str">
        <f>IF('Engagement Log'!C35="","",'Engagement Log'!C35)</f>
        <v/>
      </c>
      <c r="H30" s="76" t="str">
        <f>IF('Engagement Log'!P35="","",'Engagement Log'!P35)</f>
        <v/>
      </c>
      <c r="I30" s="76" t="str">
        <f>IF('Engagement Log'!Q35="","",'Engagement Log'!Q35)</f>
        <v/>
      </c>
      <c r="J30" s="77" t="str">
        <f>IF('Engagement Log'!L35="","",'Engagement Log'!L35)</f>
        <v/>
      </c>
    </row>
    <row r="31" spans="1:10" x14ac:dyDescent="0.3">
      <c r="A31" s="68" t="str">
        <f>IF('Engagement Log'!O36="","",'Engagement Log'!O36)</f>
        <v/>
      </c>
      <c r="B31" s="69" t="str">
        <f ca="1">IF('Engagement Log'!O36="","",'Engagement Log'!O36-TODAY())</f>
        <v/>
      </c>
      <c r="C31" s="70" t="str">
        <f>IF('Engagement Log'!B36="","",'Engagement Log'!B36)</f>
        <v/>
      </c>
      <c r="D31" s="70" t="str">
        <f>IF('Engagement Log'!D36="","",'Engagement Log'!D36)</f>
        <v/>
      </c>
      <c r="E31" s="70" t="str">
        <f>IF('Engagement Log'!G36="","",'Engagement Log'!G36)</f>
        <v/>
      </c>
      <c r="F31" s="70" t="str">
        <f>IF('Engagement Log'!N36="","",'Engagement Log'!N36)</f>
        <v/>
      </c>
      <c r="G31" s="70" t="str">
        <f>IF('Engagement Log'!C36="","",'Engagement Log'!C36)</f>
        <v/>
      </c>
      <c r="H31" s="71" t="str">
        <f>IF('Engagement Log'!P36="","",'Engagement Log'!P36)</f>
        <v/>
      </c>
      <c r="I31" s="71" t="str">
        <f>IF('Engagement Log'!Q36="","",'Engagement Log'!Q36)</f>
        <v/>
      </c>
      <c r="J31" s="72" t="str">
        <f>IF('Engagement Log'!L36="","",'Engagement Log'!L36)</f>
        <v/>
      </c>
    </row>
    <row r="32" spans="1:10" x14ac:dyDescent="0.3">
      <c r="A32" s="73" t="str">
        <f>IF('Engagement Log'!O37="","",'Engagement Log'!O37)</f>
        <v/>
      </c>
      <c r="B32" s="74" t="str">
        <f ca="1">IF('Engagement Log'!O37="","",'Engagement Log'!O37-TODAY())</f>
        <v/>
      </c>
      <c r="C32" s="75" t="str">
        <f>IF('Engagement Log'!B37="","",'Engagement Log'!B37)</f>
        <v/>
      </c>
      <c r="D32" s="75" t="str">
        <f>IF('Engagement Log'!D37="","",'Engagement Log'!D37)</f>
        <v/>
      </c>
      <c r="E32" s="75" t="str">
        <f>IF('Engagement Log'!G37="","",'Engagement Log'!G37)</f>
        <v/>
      </c>
      <c r="F32" s="75" t="str">
        <f>IF('Engagement Log'!N37="","",'Engagement Log'!N37)</f>
        <v/>
      </c>
      <c r="G32" s="75" t="str">
        <f>IF('Engagement Log'!C37="","",'Engagement Log'!C37)</f>
        <v/>
      </c>
      <c r="H32" s="76" t="str">
        <f>IF('Engagement Log'!P37="","",'Engagement Log'!P37)</f>
        <v/>
      </c>
      <c r="I32" s="76" t="str">
        <f>IF('Engagement Log'!Q37="","",'Engagement Log'!Q37)</f>
        <v/>
      </c>
      <c r="J32" s="77" t="str">
        <f>IF('Engagement Log'!L37="","",'Engagement Log'!L37)</f>
        <v/>
      </c>
    </row>
    <row r="33" spans="1:10" x14ac:dyDescent="0.3">
      <c r="A33" s="68" t="str">
        <f>IF('Engagement Log'!O38="","",'Engagement Log'!O38)</f>
        <v/>
      </c>
      <c r="B33" s="69" t="str">
        <f ca="1">IF('Engagement Log'!O38="","",'Engagement Log'!O38-TODAY())</f>
        <v/>
      </c>
      <c r="C33" s="70" t="str">
        <f>IF('Engagement Log'!B38="","",'Engagement Log'!B38)</f>
        <v/>
      </c>
      <c r="D33" s="70" t="str">
        <f>IF('Engagement Log'!D38="","",'Engagement Log'!D38)</f>
        <v/>
      </c>
      <c r="E33" s="70" t="str">
        <f>IF('Engagement Log'!G38="","",'Engagement Log'!G38)</f>
        <v/>
      </c>
      <c r="F33" s="70" t="str">
        <f>IF('Engagement Log'!N38="","",'Engagement Log'!N38)</f>
        <v/>
      </c>
      <c r="G33" s="70" t="str">
        <f>IF('Engagement Log'!C38="","",'Engagement Log'!C38)</f>
        <v/>
      </c>
      <c r="H33" s="71" t="str">
        <f>IF('Engagement Log'!P38="","",'Engagement Log'!P38)</f>
        <v/>
      </c>
      <c r="I33" s="71" t="str">
        <f>IF('Engagement Log'!Q38="","",'Engagement Log'!Q38)</f>
        <v/>
      </c>
      <c r="J33" s="72" t="str">
        <f>IF('Engagement Log'!L38="","",'Engagement Log'!L38)</f>
        <v/>
      </c>
    </row>
    <row r="34" spans="1:10" x14ac:dyDescent="0.3">
      <c r="A34" s="73" t="str">
        <f>IF('Engagement Log'!O39="","",'Engagement Log'!O39)</f>
        <v/>
      </c>
      <c r="B34" s="74" t="str">
        <f ca="1">IF('Engagement Log'!O39="","",'Engagement Log'!O39-TODAY())</f>
        <v/>
      </c>
      <c r="C34" s="75" t="str">
        <f>IF('Engagement Log'!B39="","",'Engagement Log'!B39)</f>
        <v/>
      </c>
      <c r="D34" s="75" t="str">
        <f>IF('Engagement Log'!D39="","",'Engagement Log'!D39)</f>
        <v/>
      </c>
      <c r="E34" s="75" t="str">
        <f>IF('Engagement Log'!G39="","",'Engagement Log'!G39)</f>
        <v/>
      </c>
      <c r="F34" s="75" t="str">
        <f>IF('Engagement Log'!N39="","",'Engagement Log'!N39)</f>
        <v/>
      </c>
      <c r="G34" s="75" t="str">
        <f>IF('Engagement Log'!C39="","",'Engagement Log'!C39)</f>
        <v/>
      </c>
      <c r="H34" s="76" t="str">
        <f>IF('Engagement Log'!P39="","",'Engagement Log'!P39)</f>
        <v/>
      </c>
      <c r="I34" s="76" t="str">
        <f>IF('Engagement Log'!Q39="","",'Engagement Log'!Q39)</f>
        <v/>
      </c>
      <c r="J34" s="77" t="str">
        <f>IF('Engagement Log'!L39="","",'Engagement Log'!L39)</f>
        <v/>
      </c>
    </row>
    <row r="35" spans="1:10" x14ac:dyDescent="0.3">
      <c r="A35" s="68" t="str">
        <f>IF('Engagement Log'!O40="","",'Engagement Log'!O40)</f>
        <v/>
      </c>
      <c r="B35" s="69" t="str">
        <f ca="1">IF('Engagement Log'!O40="","",'Engagement Log'!O40-TODAY())</f>
        <v/>
      </c>
      <c r="C35" s="70" t="str">
        <f>IF('Engagement Log'!B40="","",'Engagement Log'!B40)</f>
        <v/>
      </c>
      <c r="D35" s="70" t="str">
        <f>IF('Engagement Log'!D40="","",'Engagement Log'!D40)</f>
        <v/>
      </c>
      <c r="E35" s="70" t="str">
        <f>IF('Engagement Log'!G40="","",'Engagement Log'!G40)</f>
        <v/>
      </c>
      <c r="F35" s="70" t="str">
        <f>IF('Engagement Log'!N40="","",'Engagement Log'!N40)</f>
        <v/>
      </c>
      <c r="G35" s="70" t="str">
        <f>IF('Engagement Log'!C40="","",'Engagement Log'!C40)</f>
        <v/>
      </c>
      <c r="H35" s="71" t="str">
        <f>IF('Engagement Log'!P40="","",'Engagement Log'!P40)</f>
        <v/>
      </c>
      <c r="I35" s="71" t="str">
        <f>IF('Engagement Log'!Q40="","",'Engagement Log'!Q40)</f>
        <v/>
      </c>
      <c r="J35" s="72" t="str">
        <f>IF('Engagement Log'!L40="","",'Engagement Log'!L40)</f>
        <v/>
      </c>
    </row>
    <row r="36" spans="1:10" x14ac:dyDescent="0.3">
      <c r="A36" s="73" t="str">
        <f>IF('Engagement Log'!O41="","",'Engagement Log'!O41)</f>
        <v/>
      </c>
      <c r="B36" s="74" t="str">
        <f ca="1">IF('Engagement Log'!O41="","",'Engagement Log'!O41-TODAY())</f>
        <v/>
      </c>
      <c r="C36" s="75" t="str">
        <f>IF('Engagement Log'!B41="","",'Engagement Log'!B41)</f>
        <v/>
      </c>
      <c r="D36" s="75" t="str">
        <f>IF('Engagement Log'!D41="","",'Engagement Log'!D41)</f>
        <v/>
      </c>
      <c r="E36" s="75" t="str">
        <f>IF('Engagement Log'!G41="","",'Engagement Log'!G41)</f>
        <v/>
      </c>
      <c r="F36" s="75" t="str">
        <f>IF('Engagement Log'!N41="","",'Engagement Log'!N41)</f>
        <v/>
      </c>
      <c r="G36" s="75" t="str">
        <f>IF('Engagement Log'!C41="","",'Engagement Log'!C41)</f>
        <v/>
      </c>
      <c r="H36" s="76" t="str">
        <f>IF('Engagement Log'!P41="","",'Engagement Log'!P41)</f>
        <v/>
      </c>
      <c r="I36" s="76" t="str">
        <f>IF('Engagement Log'!Q41="","",'Engagement Log'!Q41)</f>
        <v/>
      </c>
      <c r="J36" s="77" t="str">
        <f>IF('Engagement Log'!L41="","",'Engagement Log'!L41)</f>
        <v/>
      </c>
    </row>
    <row r="37" spans="1:10" x14ac:dyDescent="0.3">
      <c r="A37" s="68" t="str">
        <f>IF('Engagement Log'!O42="","",'Engagement Log'!O42)</f>
        <v/>
      </c>
      <c r="B37" s="69" t="str">
        <f ca="1">IF('Engagement Log'!O42="","",'Engagement Log'!O42-TODAY())</f>
        <v/>
      </c>
      <c r="C37" s="70" t="str">
        <f>IF('Engagement Log'!B42="","",'Engagement Log'!B42)</f>
        <v/>
      </c>
      <c r="D37" s="70" t="str">
        <f>IF('Engagement Log'!D42="","",'Engagement Log'!D42)</f>
        <v/>
      </c>
      <c r="E37" s="70" t="str">
        <f>IF('Engagement Log'!G42="","",'Engagement Log'!G42)</f>
        <v/>
      </c>
      <c r="F37" s="70" t="str">
        <f>IF('Engagement Log'!N42="","",'Engagement Log'!N42)</f>
        <v/>
      </c>
      <c r="G37" s="70" t="str">
        <f>IF('Engagement Log'!C42="","",'Engagement Log'!C42)</f>
        <v/>
      </c>
      <c r="H37" s="71" t="str">
        <f>IF('Engagement Log'!P42="","",'Engagement Log'!P42)</f>
        <v/>
      </c>
      <c r="I37" s="71" t="str">
        <f>IF('Engagement Log'!Q42="","",'Engagement Log'!Q42)</f>
        <v/>
      </c>
      <c r="J37" s="72" t="str">
        <f>IF('Engagement Log'!L42="","",'Engagement Log'!L42)</f>
        <v/>
      </c>
    </row>
    <row r="38" spans="1:10" x14ac:dyDescent="0.3">
      <c r="A38" s="73" t="str">
        <f>IF('Engagement Log'!O43="","",'Engagement Log'!O43)</f>
        <v/>
      </c>
      <c r="B38" s="74" t="str">
        <f ca="1">IF('Engagement Log'!O43="","",'Engagement Log'!O43-TODAY())</f>
        <v/>
      </c>
      <c r="C38" s="75" t="str">
        <f>IF('Engagement Log'!B43="","",'Engagement Log'!B43)</f>
        <v/>
      </c>
      <c r="D38" s="75" t="str">
        <f>IF('Engagement Log'!D43="","",'Engagement Log'!D43)</f>
        <v/>
      </c>
      <c r="E38" s="75" t="str">
        <f>IF('Engagement Log'!G43="","",'Engagement Log'!G43)</f>
        <v/>
      </c>
      <c r="F38" s="75" t="str">
        <f>IF('Engagement Log'!N43="","",'Engagement Log'!N43)</f>
        <v/>
      </c>
      <c r="G38" s="75" t="str">
        <f>IF('Engagement Log'!C43="","",'Engagement Log'!C43)</f>
        <v/>
      </c>
      <c r="H38" s="76" t="str">
        <f>IF('Engagement Log'!P43="","",'Engagement Log'!P43)</f>
        <v/>
      </c>
      <c r="I38" s="76" t="str">
        <f>IF('Engagement Log'!Q43="","",'Engagement Log'!Q43)</f>
        <v/>
      </c>
      <c r="J38" s="77" t="str">
        <f>IF('Engagement Log'!L43="","",'Engagement Log'!L43)</f>
        <v/>
      </c>
    </row>
    <row r="39" spans="1:10" x14ac:dyDescent="0.3">
      <c r="A39" s="68" t="str">
        <f>IF('Engagement Log'!O44="","",'Engagement Log'!O44)</f>
        <v/>
      </c>
      <c r="B39" s="69" t="str">
        <f ca="1">IF('Engagement Log'!O44="","",'Engagement Log'!O44-TODAY())</f>
        <v/>
      </c>
      <c r="C39" s="70" t="str">
        <f>IF('Engagement Log'!B44="","",'Engagement Log'!B44)</f>
        <v/>
      </c>
      <c r="D39" s="70" t="str">
        <f>IF('Engagement Log'!D44="","",'Engagement Log'!D44)</f>
        <v/>
      </c>
      <c r="E39" s="70" t="str">
        <f>IF('Engagement Log'!G44="","",'Engagement Log'!G44)</f>
        <v/>
      </c>
      <c r="F39" s="70" t="str">
        <f>IF('Engagement Log'!N44="","",'Engagement Log'!N44)</f>
        <v/>
      </c>
      <c r="G39" s="70" t="str">
        <f>IF('Engagement Log'!C44="","",'Engagement Log'!C44)</f>
        <v/>
      </c>
      <c r="H39" s="71" t="str">
        <f>IF('Engagement Log'!P44="","",'Engagement Log'!P44)</f>
        <v/>
      </c>
      <c r="I39" s="71" t="str">
        <f>IF('Engagement Log'!Q44="","",'Engagement Log'!Q44)</f>
        <v/>
      </c>
      <c r="J39" s="72" t="str">
        <f>IF('Engagement Log'!L44="","",'Engagement Log'!L44)</f>
        <v/>
      </c>
    </row>
    <row r="40" spans="1:10" x14ac:dyDescent="0.3">
      <c r="A40" s="73" t="str">
        <f>IF('Engagement Log'!O45="","",'Engagement Log'!O45)</f>
        <v/>
      </c>
      <c r="B40" s="74" t="str">
        <f ca="1">IF('Engagement Log'!O45="","",'Engagement Log'!O45-TODAY())</f>
        <v/>
      </c>
      <c r="C40" s="75" t="str">
        <f>IF('Engagement Log'!B45="","",'Engagement Log'!B45)</f>
        <v/>
      </c>
      <c r="D40" s="75" t="str">
        <f>IF('Engagement Log'!D45="","",'Engagement Log'!D45)</f>
        <v/>
      </c>
      <c r="E40" s="75" t="str">
        <f>IF('Engagement Log'!G45="","",'Engagement Log'!G45)</f>
        <v/>
      </c>
      <c r="F40" s="75" t="str">
        <f>IF('Engagement Log'!N45="","",'Engagement Log'!N45)</f>
        <v/>
      </c>
      <c r="G40" s="75" t="str">
        <f>IF('Engagement Log'!C45="","",'Engagement Log'!C45)</f>
        <v/>
      </c>
      <c r="H40" s="76" t="str">
        <f>IF('Engagement Log'!P45="","",'Engagement Log'!P45)</f>
        <v/>
      </c>
      <c r="I40" s="76" t="str">
        <f>IF('Engagement Log'!Q45="","",'Engagement Log'!Q45)</f>
        <v/>
      </c>
      <c r="J40" s="77" t="str">
        <f>IF('Engagement Log'!L45="","",'Engagement Log'!L45)</f>
        <v/>
      </c>
    </row>
    <row r="41" spans="1:10" x14ac:dyDescent="0.3">
      <c r="A41" s="68" t="str">
        <f>IF('Engagement Log'!O46="","",'Engagement Log'!O46)</f>
        <v/>
      </c>
      <c r="B41" s="69" t="str">
        <f ca="1">IF('Engagement Log'!O46="","",'Engagement Log'!O46-TODAY())</f>
        <v/>
      </c>
      <c r="C41" s="70" t="str">
        <f>IF('Engagement Log'!B46="","",'Engagement Log'!B46)</f>
        <v/>
      </c>
      <c r="D41" s="70" t="str">
        <f>IF('Engagement Log'!D46="","",'Engagement Log'!D46)</f>
        <v/>
      </c>
      <c r="E41" s="70" t="str">
        <f>IF('Engagement Log'!G46="","",'Engagement Log'!G46)</f>
        <v/>
      </c>
      <c r="F41" s="70" t="str">
        <f>IF('Engagement Log'!N46="","",'Engagement Log'!N46)</f>
        <v/>
      </c>
      <c r="G41" s="70" t="str">
        <f>IF('Engagement Log'!C46="","",'Engagement Log'!C46)</f>
        <v/>
      </c>
      <c r="H41" s="71" t="str">
        <f>IF('Engagement Log'!P46="","",'Engagement Log'!P46)</f>
        <v/>
      </c>
      <c r="I41" s="71" t="str">
        <f>IF('Engagement Log'!Q46="","",'Engagement Log'!Q46)</f>
        <v/>
      </c>
      <c r="J41" s="72" t="str">
        <f>IF('Engagement Log'!L46="","",'Engagement Log'!L46)</f>
        <v/>
      </c>
    </row>
    <row r="42" spans="1:10" x14ac:dyDescent="0.3">
      <c r="A42" s="73" t="str">
        <f>IF('Engagement Log'!O47="","",'Engagement Log'!O47)</f>
        <v/>
      </c>
      <c r="B42" s="74" t="str">
        <f ca="1">IF('Engagement Log'!O47="","",'Engagement Log'!O47-TODAY())</f>
        <v/>
      </c>
      <c r="C42" s="75" t="str">
        <f>IF('Engagement Log'!B47="","",'Engagement Log'!B47)</f>
        <v/>
      </c>
      <c r="D42" s="75" t="str">
        <f>IF('Engagement Log'!D47="","",'Engagement Log'!D47)</f>
        <v/>
      </c>
      <c r="E42" s="75" t="str">
        <f>IF('Engagement Log'!G47="","",'Engagement Log'!G47)</f>
        <v/>
      </c>
      <c r="F42" s="75" t="str">
        <f>IF('Engagement Log'!N47="","",'Engagement Log'!N47)</f>
        <v/>
      </c>
      <c r="G42" s="75" t="str">
        <f>IF('Engagement Log'!C47="","",'Engagement Log'!C47)</f>
        <v/>
      </c>
      <c r="H42" s="76" t="str">
        <f>IF('Engagement Log'!P47="","",'Engagement Log'!P47)</f>
        <v/>
      </c>
      <c r="I42" s="76" t="str">
        <f>IF('Engagement Log'!Q47="","",'Engagement Log'!Q47)</f>
        <v/>
      </c>
      <c r="J42" s="77" t="str">
        <f>IF('Engagement Log'!L47="","",'Engagement Log'!L47)</f>
        <v/>
      </c>
    </row>
    <row r="43" spans="1:10" x14ac:dyDescent="0.3">
      <c r="A43" s="68" t="str">
        <f>IF('Engagement Log'!O48="","",'Engagement Log'!O48)</f>
        <v/>
      </c>
      <c r="B43" s="69" t="str">
        <f ca="1">IF('Engagement Log'!O48="","",'Engagement Log'!O48-TODAY())</f>
        <v/>
      </c>
      <c r="C43" s="70" t="str">
        <f>IF('Engagement Log'!B48="","",'Engagement Log'!B48)</f>
        <v/>
      </c>
      <c r="D43" s="70" t="str">
        <f>IF('Engagement Log'!D48="","",'Engagement Log'!D48)</f>
        <v/>
      </c>
      <c r="E43" s="70" t="str">
        <f>IF('Engagement Log'!G48="","",'Engagement Log'!G48)</f>
        <v/>
      </c>
      <c r="F43" s="70" t="str">
        <f>IF('Engagement Log'!N48="","",'Engagement Log'!N48)</f>
        <v/>
      </c>
      <c r="G43" s="70" t="str">
        <f>IF('Engagement Log'!C48="","",'Engagement Log'!C48)</f>
        <v/>
      </c>
      <c r="H43" s="71" t="str">
        <f>IF('Engagement Log'!P48="","",'Engagement Log'!P48)</f>
        <v/>
      </c>
      <c r="I43" s="71" t="str">
        <f>IF('Engagement Log'!Q48="","",'Engagement Log'!Q48)</f>
        <v/>
      </c>
      <c r="J43" s="72" t="str">
        <f>IF('Engagement Log'!L48="","",'Engagement Log'!L48)</f>
        <v/>
      </c>
    </row>
    <row r="44" spans="1:10" x14ac:dyDescent="0.3">
      <c r="A44" s="73" t="str">
        <f>IF('Engagement Log'!O49="","",'Engagement Log'!O49)</f>
        <v/>
      </c>
      <c r="B44" s="74" t="str">
        <f ca="1">IF('Engagement Log'!O49="","",'Engagement Log'!O49-TODAY())</f>
        <v/>
      </c>
      <c r="C44" s="75" t="str">
        <f>IF('Engagement Log'!B49="","",'Engagement Log'!B49)</f>
        <v/>
      </c>
      <c r="D44" s="75" t="str">
        <f>IF('Engagement Log'!D49="","",'Engagement Log'!D49)</f>
        <v/>
      </c>
      <c r="E44" s="75" t="str">
        <f>IF('Engagement Log'!G49="","",'Engagement Log'!G49)</f>
        <v/>
      </c>
      <c r="F44" s="75" t="str">
        <f>IF('Engagement Log'!N49="","",'Engagement Log'!N49)</f>
        <v/>
      </c>
      <c r="G44" s="75" t="str">
        <f>IF('Engagement Log'!C49="","",'Engagement Log'!C49)</f>
        <v/>
      </c>
      <c r="H44" s="76" t="str">
        <f>IF('Engagement Log'!P49="","",'Engagement Log'!P49)</f>
        <v/>
      </c>
      <c r="I44" s="76" t="str">
        <f>IF('Engagement Log'!Q49="","",'Engagement Log'!Q49)</f>
        <v/>
      </c>
      <c r="J44" s="77" t="str">
        <f>IF('Engagement Log'!L49="","",'Engagement Log'!L49)</f>
        <v/>
      </c>
    </row>
    <row r="45" spans="1:10" x14ac:dyDescent="0.3">
      <c r="A45" s="68" t="str">
        <f>IF('Engagement Log'!O50="","",'Engagement Log'!O50)</f>
        <v/>
      </c>
      <c r="B45" s="69" t="str">
        <f ca="1">IF('Engagement Log'!O50="","",'Engagement Log'!O50-TODAY())</f>
        <v/>
      </c>
      <c r="C45" s="70" t="str">
        <f>IF('Engagement Log'!B50="","",'Engagement Log'!B50)</f>
        <v/>
      </c>
      <c r="D45" s="70" t="str">
        <f>IF('Engagement Log'!D50="","",'Engagement Log'!D50)</f>
        <v/>
      </c>
      <c r="E45" s="70" t="str">
        <f>IF('Engagement Log'!G50="","",'Engagement Log'!G50)</f>
        <v/>
      </c>
      <c r="F45" s="70" t="str">
        <f>IF('Engagement Log'!N50="","",'Engagement Log'!N50)</f>
        <v/>
      </c>
      <c r="G45" s="70" t="str">
        <f>IF('Engagement Log'!C50="","",'Engagement Log'!C50)</f>
        <v/>
      </c>
      <c r="H45" s="71" t="str">
        <f>IF('Engagement Log'!P50="","",'Engagement Log'!P50)</f>
        <v/>
      </c>
      <c r="I45" s="71" t="str">
        <f>IF('Engagement Log'!Q50="","",'Engagement Log'!Q50)</f>
        <v/>
      </c>
      <c r="J45" s="72" t="str">
        <f>IF('Engagement Log'!L50="","",'Engagement Log'!L50)</f>
        <v/>
      </c>
    </row>
    <row r="46" spans="1:10" x14ac:dyDescent="0.3">
      <c r="A46" s="73" t="str">
        <f>IF('Engagement Log'!O51="","",'Engagement Log'!O51)</f>
        <v/>
      </c>
      <c r="B46" s="74" t="str">
        <f ca="1">IF('Engagement Log'!O51="","",'Engagement Log'!O51-TODAY())</f>
        <v/>
      </c>
      <c r="C46" s="75" t="str">
        <f>IF('Engagement Log'!B51="","",'Engagement Log'!B51)</f>
        <v/>
      </c>
      <c r="D46" s="75" t="str">
        <f>IF('Engagement Log'!D51="","",'Engagement Log'!D51)</f>
        <v/>
      </c>
      <c r="E46" s="75" t="str">
        <f>IF('Engagement Log'!G51="","",'Engagement Log'!G51)</f>
        <v/>
      </c>
      <c r="F46" s="75" t="str">
        <f>IF('Engagement Log'!N51="","",'Engagement Log'!N51)</f>
        <v/>
      </c>
      <c r="G46" s="75" t="str">
        <f>IF('Engagement Log'!C51="","",'Engagement Log'!C51)</f>
        <v/>
      </c>
      <c r="H46" s="76" t="str">
        <f>IF('Engagement Log'!P51="","",'Engagement Log'!P51)</f>
        <v/>
      </c>
      <c r="I46" s="76" t="str">
        <f>IF('Engagement Log'!Q51="","",'Engagement Log'!Q51)</f>
        <v/>
      </c>
      <c r="J46" s="77" t="str">
        <f>IF('Engagement Log'!L51="","",'Engagement Log'!L51)</f>
        <v/>
      </c>
    </row>
    <row r="47" spans="1:10" x14ac:dyDescent="0.3">
      <c r="A47" s="68" t="str">
        <f>IF('Engagement Log'!O52="","",'Engagement Log'!O52)</f>
        <v/>
      </c>
      <c r="B47" s="69" t="str">
        <f ca="1">IF('Engagement Log'!O52="","",'Engagement Log'!O52-TODAY())</f>
        <v/>
      </c>
      <c r="C47" s="70" t="str">
        <f>IF('Engagement Log'!B52="","",'Engagement Log'!B52)</f>
        <v/>
      </c>
      <c r="D47" s="70" t="str">
        <f>IF('Engagement Log'!D52="","",'Engagement Log'!D52)</f>
        <v/>
      </c>
      <c r="E47" s="70" t="str">
        <f>IF('Engagement Log'!G52="","",'Engagement Log'!G52)</f>
        <v/>
      </c>
      <c r="F47" s="70" t="str">
        <f>IF('Engagement Log'!N52="","",'Engagement Log'!N52)</f>
        <v/>
      </c>
      <c r="G47" s="70" t="str">
        <f>IF('Engagement Log'!C52="","",'Engagement Log'!C52)</f>
        <v/>
      </c>
      <c r="H47" s="71" t="str">
        <f>IF('Engagement Log'!P52="","",'Engagement Log'!P52)</f>
        <v/>
      </c>
      <c r="I47" s="71" t="str">
        <f>IF('Engagement Log'!Q52="","",'Engagement Log'!Q52)</f>
        <v/>
      </c>
      <c r="J47" s="72" t="str">
        <f>IF('Engagement Log'!L52="","",'Engagement Log'!L52)</f>
        <v/>
      </c>
    </row>
    <row r="48" spans="1:10" x14ac:dyDescent="0.3">
      <c r="A48" s="73" t="str">
        <f>IF('Engagement Log'!O53="","",'Engagement Log'!O53)</f>
        <v/>
      </c>
      <c r="B48" s="74" t="str">
        <f ca="1">IF('Engagement Log'!O53="","",'Engagement Log'!O53-TODAY())</f>
        <v/>
      </c>
      <c r="C48" s="75" t="str">
        <f>IF('Engagement Log'!B53="","",'Engagement Log'!B53)</f>
        <v/>
      </c>
      <c r="D48" s="75" t="str">
        <f>IF('Engagement Log'!D53="","",'Engagement Log'!D53)</f>
        <v/>
      </c>
      <c r="E48" s="75" t="str">
        <f>IF('Engagement Log'!G53="","",'Engagement Log'!G53)</f>
        <v/>
      </c>
      <c r="F48" s="75" t="str">
        <f>IF('Engagement Log'!N53="","",'Engagement Log'!N53)</f>
        <v/>
      </c>
      <c r="G48" s="75" t="str">
        <f>IF('Engagement Log'!C53="","",'Engagement Log'!C53)</f>
        <v/>
      </c>
      <c r="H48" s="76" t="str">
        <f>IF('Engagement Log'!P53="","",'Engagement Log'!P53)</f>
        <v/>
      </c>
      <c r="I48" s="76" t="str">
        <f>IF('Engagement Log'!Q53="","",'Engagement Log'!Q53)</f>
        <v/>
      </c>
      <c r="J48" s="77" t="str">
        <f>IF('Engagement Log'!L53="","",'Engagement Log'!L53)</f>
        <v/>
      </c>
    </row>
    <row r="49" spans="1:10" x14ac:dyDescent="0.3">
      <c r="A49" s="68" t="str">
        <f>IF('Engagement Log'!O54="","",'Engagement Log'!O54)</f>
        <v/>
      </c>
      <c r="B49" s="69" t="str">
        <f ca="1">IF('Engagement Log'!O54="","",'Engagement Log'!O54-TODAY())</f>
        <v/>
      </c>
      <c r="C49" s="70" t="str">
        <f>IF('Engagement Log'!B54="","",'Engagement Log'!B54)</f>
        <v/>
      </c>
      <c r="D49" s="70" t="str">
        <f>IF('Engagement Log'!D54="","",'Engagement Log'!D54)</f>
        <v/>
      </c>
      <c r="E49" s="70" t="str">
        <f>IF('Engagement Log'!G54="","",'Engagement Log'!G54)</f>
        <v/>
      </c>
      <c r="F49" s="70" t="str">
        <f>IF('Engagement Log'!N54="","",'Engagement Log'!N54)</f>
        <v/>
      </c>
      <c r="G49" s="70" t="str">
        <f>IF('Engagement Log'!C54="","",'Engagement Log'!C54)</f>
        <v/>
      </c>
      <c r="H49" s="71" t="str">
        <f>IF('Engagement Log'!P54="","",'Engagement Log'!P54)</f>
        <v/>
      </c>
      <c r="I49" s="71" t="str">
        <f>IF('Engagement Log'!Q54="","",'Engagement Log'!Q54)</f>
        <v/>
      </c>
      <c r="J49" s="72" t="str">
        <f>IF('Engagement Log'!L54="","",'Engagement Log'!L54)</f>
        <v/>
      </c>
    </row>
    <row r="50" spans="1:10" x14ac:dyDescent="0.3">
      <c r="A50" s="73" t="str">
        <f>IF('Engagement Log'!O55="","",'Engagement Log'!O55)</f>
        <v/>
      </c>
      <c r="B50" s="74" t="str">
        <f ca="1">IF('Engagement Log'!O55="","",'Engagement Log'!O55-TODAY())</f>
        <v/>
      </c>
      <c r="C50" s="75" t="str">
        <f>IF('Engagement Log'!B55="","",'Engagement Log'!B55)</f>
        <v/>
      </c>
      <c r="D50" s="75" t="str">
        <f>IF('Engagement Log'!D55="","",'Engagement Log'!D55)</f>
        <v/>
      </c>
      <c r="E50" s="75" t="str">
        <f>IF('Engagement Log'!G55="","",'Engagement Log'!G55)</f>
        <v/>
      </c>
      <c r="F50" s="75" t="str">
        <f>IF('Engagement Log'!N55="","",'Engagement Log'!N55)</f>
        <v/>
      </c>
      <c r="G50" s="75" t="str">
        <f>IF('Engagement Log'!C55="","",'Engagement Log'!C55)</f>
        <v/>
      </c>
      <c r="H50" s="76" t="str">
        <f>IF('Engagement Log'!P55="","",'Engagement Log'!P55)</f>
        <v/>
      </c>
      <c r="I50" s="76" t="str">
        <f>IF('Engagement Log'!Q55="","",'Engagement Log'!Q55)</f>
        <v/>
      </c>
      <c r="J50" s="77" t="str">
        <f>IF('Engagement Log'!L55="","",'Engagement Log'!L55)</f>
        <v/>
      </c>
    </row>
    <row r="51" spans="1:10" x14ac:dyDescent="0.3">
      <c r="A51" s="68" t="str">
        <f>IF('Engagement Log'!O56="","",'Engagement Log'!O56)</f>
        <v/>
      </c>
      <c r="B51" s="69" t="str">
        <f ca="1">IF('Engagement Log'!O56="","",'Engagement Log'!O56-TODAY())</f>
        <v/>
      </c>
      <c r="C51" s="70" t="str">
        <f>IF('Engagement Log'!B56="","",'Engagement Log'!B56)</f>
        <v/>
      </c>
      <c r="D51" s="70" t="str">
        <f>IF('Engagement Log'!D56="","",'Engagement Log'!D56)</f>
        <v/>
      </c>
      <c r="E51" s="70" t="str">
        <f>IF('Engagement Log'!G56="","",'Engagement Log'!G56)</f>
        <v/>
      </c>
      <c r="F51" s="70" t="str">
        <f>IF('Engagement Log'!N56="","",'Engagement Log'!N56)</f>
        <v/>
      </c>
      <c r="G51" s="70" t="str">
        <f>IF('Engagement Log'!C56="","",'Engagement Log'!C56)</f>
        <v/>
      </c>
      <c r="H51" s="71" t="str">
        <f>IF('Engagement Log'!P56="","",'Engagement Log'!P56)</f>
        <v/>
      </c>
      <c r="I51" s="71" t="str">
        <f>IF('Engagement Log'!Q56="","",'Engagement Log'!Q56)</f>
        <v/>
      </c>
      <c r="J51" s="72" t="str">
        <f>IF('Engagement Log'!L56="","",'Engagement Log'!L56)</f>
        <v/>
      </c>
    </row>
    <row r="52" spans="1:10" x14ac:dyDescent="0.3">
      <c r="A52" s="73" t="str">
        <f>IF('Engagement Log'!O57="","",'Engagement Log'!O57)</f>
        <v/>
      </c>
      <c r="B52" s="74" t="str">
        <f ca="1">IF('Engagement Log'!O57="","",'Engagement Log'!O57-TODAY())</f>
        <v/>
      </c>
      <c r="C52" s="75" t="str">
        <f>IF('Engagement Log'!B57="","",'Engagement Log'!B57)</f>
        <v/>
      </c>
      <c r="D52" s="75" t="str">
        <f>IF('Engagement Log'!D57="","",'Engagement Log'!D57)</f>
        <v/>
      </c>
      <c r="E52" s="75" t="str">
        <f>IF('Engagement Log'!G57="","",'Engagement Log'!G57)</f>
        <v/>
      </c>
      <c r="F52" s="75" t="str">
        <f>IF('Engagement Log'!N57="","",'Engagement Log'!N57)</f>
        <v/>
      </c>
      <c r="G52" s="75" t="str">
        <f>IF('Engagement Log'!C57="","",'Engagement Log'!C57)</f>
        <v/>
      </c>
      <c r="H52" s="76" t="str">
        <f>IF('Engagement Log'!P57="","",'Engagement Log'!P57)</f>
        <v/>
      </c>
      <c r="I52" s="76" t="str">
        <f>IF('Engagement Log'!Q57="","",'Engagement Log'!Q57)</f>
        <v/>
      </c>
      <c r="J52" s="77" t="str">
        <f>IF('Engagement Log'!L57="","",'Engagement Log'!L57)</f>
        <v/>
      </c>
    </row>
    <row r="53" spans="1:10" x14ac:dyDescent="0.3">
      <c r="A53" s="68" t="str">
        <f>IF('Engagement Log'!O58="","",'Engagement Log'!O58)</f>
        <v/>
      </c>
      <c r="B53" s="69" t="str">
        <f ca="1">IF('Engagement Log'!O58="","",'Engagement Log'!O58-TODAY())</f>
        <v/>
      </c>
      <c r="C53" s="70" t="str">
        <f>IF('Engagement Log'!B58="","",'Engagement Log'!B58)</f>
        <v/>
      </c>
      <c r="D53" s="70" t="str">
        <f>IF('Engagement Log'!D58="","",'Engagement Log'!D58)</f>
        <v/>
      </c>
      <c r="E53" s="70" t="str">
        <f>IF('Engagement Log'!G58="","",'Engagement Log'!G58)</f>
        <v/>
      </c>
      <c r="F53" s="70" t="str">
        <f>IF('Engagement Log'!N58="","",'Engagement Log'!N58)</f>
        <v/>
      </c>
      <c r="G53" s="70" t="str">
        <f>IF('Engagement Log'!C58="","",'Engagement Log'!C58)</f>
        <v/>
      </c>
      <c r="H53" s="71" t="str">
        <f>IF('Engagement Log'!P58="","",'Engagement Log'!P58)</f>
        <v/>
      </c>
      <c r="I53" s="71" t="str">
        <f>IF('Engagement Log'!Q58="","",'Engagement Log'!Q58)</f>
        <v/>
      </c>
      <c r="J53" s="72" t="str">
        <f>IF('Engagement Log'!L58="","",'Engagement Log'!L58)</f>
        <v/>
      </c>
    </row>
    <row r="54" spans="1:10" x14ac:dyDescent="0.3">
      <c r="A54" s="73" t="str">
        <f>IF('Engagement Log'!O59="","",'Engagement Log'!O59)</f>
        <v/>
      </c>
      <c r="B54" s="74" t="str">
        <f ca="1">IF('Engagement Log'!O59="","",'Engagement Log'!O59-TODAY())</f>
        <v/>
      </c>
      <c r="C54" s="75" t="str">
        <f>IF('Engagement Log'!B59="","",'Engagement Log'!B59)</f>
        <v/>
      </c>
      <c r="D54" s="75" t="str">
        <f>IF('Engagement Log'!D59="","",'Engagement Log'!D59)</f>
        <v/>
      </c>
      <c r="E54" s="75" t="str">
        <f>IF('Engagement Log'!G59="","",'Engagement Log'!G59)</f>
        <v/>
      </c>
      <c r="F54" s="75" t="str">
        <f>IF('Engagement Log'!N59="","",'Engagement Log'!N59)</f>
        <v/>
      </c>
      <c r="G54" s="75" t="str">
        <f>IF('Engagement Log'!C59="","",'Engagement Log'!C59)</f>
        <v/>
      </c>
      <c r="H54" s="76" t="str">
        <f>IF('Engagement Log'!P59="","",'Engagement Log'!P59)</f>
        <v/>
      </c>
      <c r="I54" s="76" t="str">
        <f>IF('Engagement Log'!Q59="","",'Engagement Log'!Q59)</f>
        <v/>
      </c>
      <c r="J54" s="77" t="str">
        <f>IF('Engagement Log'!L59="","",'Engagement Log'!L59)</f>
        <v/>
      </c>
    </row>
    <row r="55" spans="1:10" x14ac:dyDescent="0.3">
      <c r="A55" s="68" t="str">
        <f>IF('Engagement Log'!O60="","",'Engagement Log'!O60)</f>
        <v/>
      </c>
      <c r="B55" s="69" t="str">
        <f ca="1">IF('Engagement Log'!O60="","",'Engagement Log'!O60-TODAY())</f>
        <v/>
      </c>
      <c r="C55" s="70" t="str">
        <f>IF('Engagement Log'!B60="","",'Engagement Log'!B60)</f>
        <v/>
      </c>
      <c r="D55" s="70" t="str">
        <f>IF('Engagement Log'!D60="","",'Engagement Log'!D60)</f>
        <v/>
      </c>
      <c r="E55" s="70" t="str">
        <f>IF('Engagement Log'!G60="","",'Engagement Log'!G60)</f>
        <v/>
      </c>
      <c r="F55" s="70" t="str">
        <f>IF('Engagement Log'!N60="","",'Engagement Log'!N60)</f>
        <v/>
      </c>
      <c r="G55" s="70" t="str">
        <f>IF('Engagement Log'!C60="","",'Engagement Log'!C60)</f>
        <v/>
      </c>
      <c r="H55" s="71" t="str">
        <f>IF('Engagement Log'!P60="","",'Engagement Log'!P60)</f>
        <v/>
      </c>
      <c r="I55" s="71" t="str">
        <f>IF('Engagement Log'!Q60="","",'Engagement Log'!Q60)</f>
        <v/>
      </c>
      <c r="J55" s="72" t="str">
        <f>IF('Engagement Log'!L60="","",'Engagement Log'!L60)</f>
        <v/>
      </c>
    </row>
    <row r="56" spans="1:10" x14ac:dyDescent="0.3">
      <c r="A56" s="73" t="str">
        <f>IF('Engagement Log'!O61="","",'Engagement Log'!O61)</f>
        <v/>
      </c>
      <c r="B56" s="74" t="str">
        <f ca="1">IF('Engagement Log'!O61="","",'Engagement Log'!O61-TODAY())</f>
        <v/>
      </c>
      <c r="C56" s="75" t="str">
        <f>IF('Engagement Log'!B61="","",'Engagement Log'!B61)</f>
        <v/>
      </c>
      <c r="D56" s="75" t="str">
        <f>IF('Engagement Log'!D61="","",'Engagement Log'!D61)</f>
        <v/>
      </c>
      <c r="E56" s="75" t="str">
        <f>IF('Engagement Log'!G61="","",'Engagement Log'!G61)</f>
        <v/>
      </c>
      <c r="F56" s="75" t="str">
        <f>IF('Engagement Log'!N61="","",'Engagement Log'!N61)</f>
        <v/>
      </c>
      <c r="G56" s="75" t="str">
        <f>IF('Engagement Log'!C61="","",'Engagement Log'!C61)</f>
        <v/>
      </c>
      <c r="H56" s="76" t="str">
        <f>IF('Engagement Log'!P61="","",'Engagement Log'!P61)</f>
        <v/>
      </c>
      <c r="I56" s="76" t="str">
        <f>IF('Engagement Log'!Q61="","",'Engagement Log'!Q61)</f>
        <v/>
      </c>
      <c r="J56" s="77" t="str">
        <f>IF('Engagement Log'!L61="","",'Engagement Log'!L61)</f>
        <v/>
      </c>
    </row>
    <row r="57" spans="1:10" x14ac:dyDescent="0.3">
      <c r="A57" s="68" t="str">
        <f>IF('Engagement Log'!O62="","",'Engagement Log'!O62)</f>
        <v/>
      </c>
      <c r="B57" s="69" t="str">
        <f ca="1">IF('Engagement Log'!O62="","",'Engagement Log'!O62-TODAY())</f>
        <v/>
      </c>
      <c r="C57" s="70" t="str">
        <f>IF('Engagement Log'!B62="","",'Engagement Log'!B62)</f>
        <v/>
      </c>
      <c r="D57" s="70" t="str">
        <f>IF('Engagement Log'!D62="","",'Engagement Log'!D62)</f>
        <v/>
      </c>
      <c r="E57" s="70" t="str">
        <f>IF('Engagement Log'!G62="","",'Engagement Log'!G62)</f>
        <v/>
      </c>
      <c r="F57" s="70" t="str">
        <f>IF('Engagement Log'!N62="","",'Engagement Log'!N62)</f>
        <v/>
      </c>
      <c r="G57" s="70" t="str">
        <f>IF('Engagement Log'!C62="","",'Engagement Log'!C62)</f>
        <v/>
      </c>
      <c r="H57" s="71" t="str">
        <f>IF('Engagement Log'!P62="","",'Engagement Log'!P62)</f>
        <v/>
      </c>
      <c r="I57" s="71" t="str">
        <f>IF('Engagement Log'!Q62="","",'Engagement Log'!Q62)</f>
        <v/>
      </c>
      <c r="J57" s="72" t="str">
        <f>IF('Engagement Log'!L62="","",'Engagement Log'!L62)</f>
        <v/>
      </c>
    </row>
    <row r="58" spans="1:10" x14ac:dyDescent="0.3">
      <c r="A58" s="73" t="str">
        <f>IF('Engagement Log'!O63="","",'Engagement Log'!O63)</f>
        <v/>
      </c>
      <c r="B58" s="74" t="str">
        <f ca="1">IF('Engagement Log'!O63="","",'Engagement Log'!O63-TODAY())</f>
        <v/>
      </c>
      <c r="C58" s="75" t="str">
        <f>IF('Engagement Log'!B63="","",'Engagement Log'!B63)</f>
        <v/>
      </c>
      <c r="D58" s="75" t="str">
        <f>IF('Engagement Log'!D63="","",'Engagement Log'!D63)</f>
        <v/>
      </c>
      <c r="E58" s="75" t="str">
        <f>IF('Engagement Log'!G63="","",'Engagement Log'!G63)</f>
        <v/>
      </c>
      <c r="F58" s="75" t="str">
        <f>IF('Engagement Log'!N63="","",'Engagement Log'!N63)</f>
        <v/>
      </c>
      <c r="G58" s="75" t="str">
        <f>IF('Engagement Log'!C63="","",'Engagement Log'!C63)</f>
        <v/>
      </c>
      <c r="H58" s="76" t="str">
        <f>IF('Engagement Log'!P63="","",'Engagement Log'!P63)</f>
        <v/>
      </c>
      <c r="I58" s="76" t="str">
        <f>IF('Engagement Log'!Q63="","",'Engagement Log'!Q63)</f>
        <v/>
      </c>
      <c r="J58" s="77" t="str">
        <f>IF('Engagement Log'!L63="","",'Engagement Log'!L63)</f>
        <v/>
      </c>
    </row>
    <row r="59" spans="1:10" x14ac:dyDescent="0.3">
      <c r="A59" s="68" t="str">
        <f>IF('Engagement Log'!O64="","",'Engagement Log'!O64)</f>
        <v/>
      </c>
      <c r="B59" s="69" t="str">
        <f ca="1">IF('Engagement Log'!O64="","",'Engagement Log'!O64-TODAY())</f>
        <v/>
      </c>
      <c r="C59" s="70" t="str">
        <f>IF('Engagement Log'!B64="","",'Engagement Log'!B64)</f>
        <v/>
      </c>
      <c r="D59" s="70" t="str">
        <f>IF('Engagement Log'!D64="","",'Engagement Log'!D64)</f>
        <v/>
      </c>
      <c r="E59" s="70" t="str">
        <f>IF('Engagement Log'!G64="","",'Engagement Log'!G64)</f>
        <v/>
      </c>
      <c r="F59" s="70" t="str">
        <f>IF('Engagement Log'!N64="","",'Engagement Log'!N64)</f>
        <v/>
      </c>
      <c r="G59" s="70" t="str">
        <f>IF('Engagement Log'!C64="","",'Engagement Log'!C64)</f>
        <v/>
      </c>
      <c r="H59" s="71" t="str">
        <f>IF('Engagement Log'!P64="","",'Engagement Log'!P64)</f>
        <v/>
      </c>
      <c r="I59" s="71" t="str">
        <f>IF('Engagement Log'!Q64="","",'Engagement Log'!Q64)</f>
        <v/>
      </c>
      <c r="J59" s="72" t="str">
        <f>IF('Engagement Log'!L64="","",'Engagement Log'!L64)</f>
        <v/>
      </c>
    </row>
    <row r="60" spans="1:10" x14ac:dyDescent="0.3">
      <c r="A60" s="73" t="str">
        <f>IF('Engagement Log'!O65="","",'Engagement Log'!O65)</f>
        <v/>
      </c>
      <c r="B60" s="74" t="str">
        <f ca="1">IF('Engagement Log'!O65="","",'Engagement Log'!O65-TODAY())</f>
        <v/>
      </c>
      <c r="C60" s="75" t="str">
        <f>IF('Engagement Log'!B65="","",'Engagement Log'!B65)</f>
        <v/>
      </c>
      <c r="D60" s="75" t="str">
        <f>IF('Engagement Log'!D65="","",'Engagement Log'!D65)</f>
        <v/>
      </c>
      <c r="E60" s="75" t="str">
        <f>IF('Engagement Log'!G65="","",'Engagement Log'!G65)</f>
        <v/>
      </c>
      <c r="F60" s="75" t="str">
        <f>IF('Engagement Log'!N65="","",'Engagement Log'!N65)</f>
        <v/>
      </c>
      <c r="G60" s="75" t="str">
        <f>IF('Engagement Log'!C65="","",'Engagement Log'!C65)</f>
        <v/>
      </c>
      <c r="H60" s="76" t="str">
        <f>IF('Engagement Log'!P65="","",'Engagement Log'!P65)</f>
        <v/>
      </c>
      <c r="I60" s="76" t="str">
        <f>IF('Engagement Log'!Q65="","",'Engagement Log'!Q65)</f>
        <v/>
      </c>
      <c r="J60" s="77" t="str">
        <f>IF('Engagement Log'!L65="","",'Engagement Log'!L65)</f>
        <v/>
      </c>
    </row>
    <row r="61" spans="1:10" x14ac:dyDescent="0.3">
      <c r="A61" s="68" t="str">
        <f>IF('Engagement Log'!O66="","",'Engagement Log'!O66)</f>
        <v/>
      </c>
      <c r="B61" s="69" t="str">
        <f ca="1">IF('Engagement Log'!O66="","",'Engagement Log'!O66-TODAY())</f>
        <v/>
      </c>
      <c r="C61" s="70" t="str">
        <f>IF('Engagement Log'!B66="","",'Engagement Log'!B66)</f>
        <v/>
      </c>
      <c r="D61" s="70" t="str">
        <f>IF('Engagement Log'!D66="","",'Engagement Log'!D66)</f>
        <v/>
      </c>
      <c r="E61" s="70" t="str">
        <f>IF('Engagement Log'!G66="","",'Engagement Log'!G66)</f>
        <v/>
      </c>
      <c r="F61" s="70" t="str">
        <f>IF('Engagement Log'!N66="","",'Engagement Log'!N66)</f>
        <v/>
      </c>
      <c r="G61" s="70" t="str">
        <f>IF('Engagement Log'!C66="","",'Engagement Log'!C66)</f>
        <v/>
      </c>
      <c r="H61" s="71" t="str">
        <f>IF('Engagement Log'!P66="","",'Engagement Log'!P66)</f>
        <v/>
      </c>
      <c r="I61" s="71" t="str">
        <f>IF('Engagement Log'!Q66="","",'Engagement Log'!Q66)</f>
        <v/>
      </c>
      <c r="J61" s="72" t="str">
        <f>IF('Engagement Log'!L66="","",'Engagement Log'!L66)</f>
        <v/>
      </c>
    </row>
    <row r="62" spans="1:10" x14ac:dyDescent="0.3">
      <c r="A62" s="73" t="str">
        <f>IF('Engagement Log'!O67="","",'Engagement Log'!O67)</f>
        <v/>
      </c>
      <c r="B62" s="74" t="str">
        <f ca="1">IF('Engagement Log'!O67="","",'Engagement Log'!O67-TODAY())</f>
        <v/>
      </c>
      <c r="C62" s="75" t="str">
        <f>IF('Engagement Log'!B67="","",'Engagement Log'!B67)</f>
        <v/>
      </c>
      <c r="D62" s="75" t="str">
        <f>IF('Engagement Log'!D67="","",'Engagement Log'!D67)</f>
        <v/>
      </c>
      <c r="E62" s="75" t="str">
        <f>IF('Engagement Log'!G67="","",'Engagement Log'!G67)</f>
        <v/>
      </c>
      <c r="F62" s="75" t="str">
        <f>IF('Engagement Log'!N67="","",'Engagement Log'!N67)</f>
        <v/>
      </c>
      <c r="G62" s="75" t="str">
        <f>IF('Engagement Log'!C67="","",'Engagement Log'!C67)</f>
        <v/>
      </c>
      <c r="H62" s="76" t="str">
        <f>IF('Engagement Log'!P67="","",'Engagement Log'!P67)</f>
        <v/>
      </c>
      <c r="I62" s="76" t="str">
        <f>IF('Engagement Log'!Q67="","",'Engagement Log'!Q67)</f>
        <v/>
      </c>
      <c r="J62" s="77" t="str">
        <f>IF('Engagement Log'!L67="","",'Engagement Log'!L67)</f>
        <v/>
      </c>
    </row>
    <row r="63" spans="1:10" x14ac:dyDescent="0.3">
      <c r="A63" s="68" t="str">
        <f>IF('Engagement Log'!O68="","",'Engagement Log'!O68)</f>
        <v/>
      </c>
      <c r="B63" s="69" t="str">
        <f ca="1">IF('Engagement Log'!O68="","",'Engagement Log'!O68-TODAY())</f>
        <v/>
      </c>
      <c r="C63" s="70" t="str">
        <f>IF('Engagement Log'!B68="","",'Engagement Log'!B68)</f>
        <v/>
      </c>
      <c r="D63" s="70" t="str">
        <f>IF('Engagement Log'!D68="","",'Engagement Log'!D68)</f>
        <v/>
      </c>
      <c r="E63" s="70" t="str">
        <f>IF('Engagement Log'!G68="","",'Engagement Log'!G68)</f>
        <v/>
      </c>
      <c r="F63" s="70" t="str">
        <f>IF('Engagement Log'!N68="","",'Engagement Log'!N68)</f>
        <v/>
      </c>
      <c r="G63" s="70" t="str">
        <f>IF('Engagement Log'!C68="","",'Engagement Log'!C68)</f>
        <v/>
      </c>
      <c r="H63" s="71" t="str">
        <f>IF('Engagement Log'!P68="","",'Engagement Log'!P68)</f>
        <v/>
      </c>
      <c r="I63" s="71" t="str">
        <f>IF('Engagement Log'!Q68="","",'Engagement Log'!Q68)</f>
        <v/>
      </c>
      <c r="J63" s="72" t="str">
        <f>IF('Engagement Log'!L68="","",'Engagement Log'!L68)</f>
        <v/>
      </c>
    </row>
    <row r="64" spans="1:10" x14ac:dyDescent="0.3">
      <c r="A64" s="73" t="str">
        <f>IF('Engagement Log'!O69="","",'Engagement Log'!O69)</f>
        <v/>
      </c>
      <c r="B64" s="74" t="str">
        <f ca="1">IF('Engagement Log'!O69="","",'Engagement Log'!O69-TODAY())</f>
        <v/>
      </c>
      <c r="C64" s="75" t="str">
        <f>IF('Engagement Log'!B69="","",'Engagement Log'!B69)</f>
        <v/>
      </c>
      <c r="D64" s="75" t="str">
        <f>IF('Engagement Log'!D69="","",'Engagement Log'!D69)</f>
        <v/>
      </c>
      <c r="E64" s="75" t="str">
        <f>IF('Engagement Log'!G69="","",'Engagement Log'!G69)</f>
        <v/>
      </c>
      <c r="F64" s="75" t="str">
        <f>IF('Engagement Log'!N69="","",'Engagement Log'!N69)</f>
        <v/>
      </c>
      <c r="G64" s="75" t="str">
        <f>IF('Engagement Log'!C69="","",'Engagement Log'!C69)</f>
        <v/>
      </c>
      <c r="H64" s="76" t="str">
        <f>IF('Engagement Log'!P69="","",'Engagement Log'!P69)</f>
        <v/>
      </c>
      <c r="I64" s="76" t="str">
        <f>IF('Engagement Log'!Q69="","",'Engagement Log'!Q69)</f>
        <v/>
      </c>
      <c r="J64" s="77" t="str">
        <f>IF('Engagement Log'!L69="","",'Engagement Log'!L69)</f>
        <v/>
      </c>
    </row>
    <row r="65" spans="1:10" x14ac:dyDescent="0.3">
      <c r="A65" s="68" t="str">
        <f>IF('Engagement Log'!O70="","",'Engagement Log'!O70)</f>
        <v/>
      </c>
      <c r="B65" s="69" t="str">
        <f ca="1">IF('Engagement Log'!O70="","",'Engagement Log'!O70-TODAY())</f>
        <v/>
      </c>
      <c r="C65" s="70" t="str">
        <f>IF('Engagement Log'!B70="","",'Engagement Log'!B70)</f>
        <v/>
      </c>
      <c r="D65" s="70" t="str">
        <f>IF('Engagement Log'!D70="","",'Engagement Log'!D70)</f>
        <v/>
      </c>
      <c r="E65" s="70" t="str">
        <f>IF('Engagement Log'!G70="","",'Engagement Log'!G70)</f>
        <v/>
      </c>
      <c r="F65" s="70" t="str">
        <f>IF('Engagement Log'!N70="","",'Engagement Log'!N70)</f>
        <v/>
      </c>
      <c r="G65" s="70" t="str">
        <f>IF('Engagement Log'!C70="","",'Engagement Log'!C70)</f>
        <v/>
      </c>
      <c r="H65" s="71" t="str">
        <f>IF('Engagement Log'!P70="","",'Engagement Log'!P70)</f>
        <v/>
      </c>
      <c r="I65" s="71" t="str">
        <f>IF('Engagement Log'!Q70="","",'Engagement Log'!Q70)</f>
        <v/>
      </c>
      <c r="J65" s="72" t="str">
        <f>IF('Engagement Log'!L70="","",'Engagement Log'!L70)</f>
        <v/>
      </c>
    </row>
    <row r="66" spans="1:10" x14ac:dyDescent="0.3">
      <c r="A66" s="73" t="str">
        <f>IF('Engagement Log'!O71="","",'Engagement Log'!O71)</f>
        <v/>
      </c>
      <c r="B66" s="74" t="str">
        <f ca="1">IF('Engagement Log'!O71="","",'Engagement Log'!O71-TODAY())</f>
        <v/>
      </c>
      <c r="C66" s="75" t="str">
        <f>IF('Engagement Log'!B71="","",'Engagement Log'!B71)</f>
        <v/>
      </c>
      <c r="D66" s="75" t="str">
        <f>IF('Engagement Log'!D71="","",'Engagement Log'!D71)</f>
        <v/>
      </c>
      <c r="E66" s="75" t="str">
        <f>IF('Engagement Log'!G71="","",'Engagement Log'!G71)</f>
        <v/>
      </c>
      <c r="F66" s="75" t="str">
        <f>IF('Engagement Log'!N71="","",'Engagement Log'!N71)</f>
        <v/>
      </c>
      <c r="G66" s="75" t="str">
        <f>IF('Engagement Log'!C71="","",'Engagement Log'!C71)</f>
        <v/>
      </c>
      <c r="H66" s="76" t="str">
        <f>IF('Engagement Log'!P71="","",'Engagement Log'!P71)</f>
        <v/>
      </c>
      <c r="I66" s="76" t="str">
        <f>IF('Engagement Log'!Q71="","",'Engagement Log'!Q71)</f>
        <v/>
      </c>
      <c r="J66" s="77" t="str">
        <f>IF('Engagement Log'!L71="","",'Engagement Log'!L71)</f>
        <v/>
      </c>
    </row>
    <row r="67" spans="1:10" x14ac:dyDescent="0.3">
      <c r="A67" s="68" t="str">
        <f>IF('Engagement Log'!O72="","",'Engagement Log'!O72)</f>
        <v/>
      </c>
      <c r="B67" s="69" t="str">
        <f ca="1">IF('Engagement Log'!O72="","",'Engagement Log'!O72-TODAY())</f>
        <v/>
      </c>
      <c r="C67" s="70" t="str">
        <f>IF('Engagement Log'!B72="","",'Engagement Log'!B72)</f>
        <v/>
      </c>
      <c r="D67" s="70" t="str">
        <f>IF('Engagement Log'!D72="","",'Engagement Log'!D72)</f>
        <v/>
      </c>
      <c r="E67" s="70" t="str">
        <f>IF('Engagement Log'!G72="","",'Engagement Log'!G72)</f>
        <v/>
      </c>
      <c r="F67" s="70" t="str">
        <f>IF('Engagement Log'!N72="","",'Engagement Log'!N72)</f>
        <v/>
      </c>
      <c r="G67" s="70" t="str">
        <f>IF('Engagement Log'!C72="","",'Engagement Log'!C72)</f>
        <v/>
      </c>
      <c r="H67" s="71" t="str">
        <f>IF('Engagement Log'!P72="","",'Engagement Log'!P72)</f>
        <v/>
      </c>
      <c r="I67" s="71" t="str">
        <f>IF('Engagement Log'!Q72="","",'Engagement Log'!Q72)</f>
        <v/>
      </c>
      <c r="J67" s="72" t="str">
        <f>IF('Engagement Log'!L72="","",'Engagement Log'!L72)</f>
        <v/>
      </c>
    </row>
    <row r="68" spans="1:10" x14ac:dyDescent="0.3">
      <c r="A68" s="73" t="str">
        <f>IF('Engagement Log'!O73="","",'Engagement Log'!O73)</f>
        <v/>
      </c>
      <c r="B68" s="74" t="str">
        <f ca="1">IF('Engagement Log'!O73="","",'Engagement Log'!O73-TODAY())</f>
        <v/>
      </c>
      <c r="C68" s="75" t="str">
        <f>IF('Engagement Log'!B73="","",'Engagement Log'!B73)</f>
        <v/>
      </c>
      <c r="D68" s="75" t="str">
        <f>IF('Engagement Log'!D73="","",'Engagement Log'!D73)</f>
        <v/>
      </c>
      <c r="E68" s="75" t="str">
        <f>IF('Engagement Log'!G73="","",'Engagement Log'!G73)</f>
        <v/>
      </c>
      <c r="F68" s="75" t="str">
        <f>IF('Engagement Log'!N73="","",'Engagement Log'!N73)</f>
        <v/>
      </c>
      <c r="G68" s="75" t="str">
        <f>IF('Engagement Log'!C73="","",'Engagement Log'!C73)</f>
        <v/>
      </c>
      <c r="H68" s="76" t="str">
        <f>IF('Engagement Log'!P73="","",'Engagement Log'!P73)</f>
        <v/>
      </c>
      <c r="I68" s="76" t="str">
        <f>IF('Engagement Log'!Q73="","",'Engagement Log'!Q73)</f>
        <v/>
      </c>
      <c r="J68" s="77" t="str">
        <f>IF('Engagement Log'!L73="","",'Engagement Log'!L73)</f>
        <v/>
      </c>
    </row>
    <row r="69" spans="1:10" x14ac:dyDescent="0.3">
      <c r="A69" s="68" t="str">
        <f>IF('Engagement Log'!O74="","",'Engagement Log'!O74)</f>
        <v/>
      </c>
      <c r="B69" s="69" t="str">
        <f ca="1">IF('Engagement Log'!O74="","",'Engagement Log'!O74-TODAY())</f>
        <v/>
      </c>
      <c r="C69" s="70" t="str">
        <f>IF('Engagement Log'!B74="","",'Engagement Log'!B74)</f>
        <v/>
      </c>
      <c r="D69" s="70" t="str">
        <f>IF('Engagement Log'!D74="","",'Engagement Log'!D74)</f>
        <v/>
      </c>
      <c r="E69" s="70" t="str">
        <f>IF('Engagement Log'!G74="","",'Engagement Log'!G74)</f>
        <v/>
      </c>
      <c r="F69" s="70" t="str">
        <f>IF('Engagement Log'!N74="","",'Engagement Log'!N74)</f>
        <v/>
      </c>
      <c r="G69" s="70" t="str">
        <f>IF('Engagement Log'!C74="","",'Engagement Log'!C74)</f>
        <v/>
      </c>
      <c r="H69" s="71" t="str">
        <f>IF('Engagement Log'!P74="","",'Engagement Log'!P74)</f>
        <v/>
      </c>
      <c r="I69" s="71" t="str">
        <f>IF('Engagement Log'!Q74="","",'Engagement Log'!Q74)</f>
        <v/>
      </c>
      <c r="J69" s="72" t="str">
        <f>IF('Engagement Log'!L74="","",'Engagement Log'!L74)</f>
        <v/>
      </c>
    </row>
    <row r="70" spans="1:10" x14ac:dyDescent="0.3">
      <c r="A70" s="73" t="str">
        <f>IF('Engagement Log'!O75="","",'Engagement Log'!O75)</f>
        <v/>
      </c>
      <c r="B70" s="74" t="str">
        <f ca="1">IF('Engagement Log'!O75="","",'Engagement Log'!O75-TODAY())</f>
        <v/>
      </c>
      <c r="C70" s="75" t="str">
        <f>IF('Engagement Log'!B75="","",'Engagement Log'!B75)</f>
        <v/>
      </c>
      <c r="D70" s="75" t="str">
        <f>IF('Engagement Log'!D75="","",'Engagement Log'!D75)</f>
        <v/>
      </c>
      <c r="E70" s="75" t="str">
        <f>IF('Engagement Log'!G75="","",'Engagement Log'!G75)</f>
        <v/>
      </c>
      <c r="F70" s="75" t="str">
        <f>IF('Engagement Log'!N75="","",'Engagement Log'!N75)</f>
        <v/>
      </c>
      <c r="G70" s="75" t="str">
        <f>IF('Engagement Log'!C75="","",'Engagement Log'!C75)</f>
        <v/>
      </c>
      <c r="H70" s="76" t="str">
        <f>IF('Engagement Log'!P75="","",'Engagement Log'!P75)</f>
        <v/>
      </c>
      <c r="I70" s="76" t="str">
        <f>IF('Engagement Log'!Q75="","",'Engagement Log'!Q75)</f>
        <v/>
      </c>
      <c r="J70" s="77" t="str">
        <f>IF('Engagement Log'!L75="","",'Engagement Log'!L75)</f>
        <v/>
      </c>
    </row>
    <row r="71" spans="1:10" x14ac:dyDescent="0.3">
      <c r="A71" s="68" t="str">
        <f>IF('Engagement Log'!O76="","",'Engagement Log'!O76)</f>
        <v/>
      </c>
      <c r="B71" s="69" t="str">
        <f ca="1">IF('Engagement Log'!O76="","",'Engagement Log'!O76-TODAY())</f>
        <v/>
      </c>
      <c r="C71" s="70" t="str">
        <f>IF('Engagement Log'!B76="","",'Engagement Log'!B76)</f>
        <v/>
      </c>
      <c r="D71" s="70" t="str">
        <f>IF('Engagement Log'!D76="","",'Engagement Log'!D76)</f>
        <v/>
      </c>
      <c r="E71" s="70" t="str">
        <f>IF('Engagement Log'!G76="","",'Engagement Log'!G76)</f>
        <v/>
      </c>
      <c r="F71" s="70" t="str">
        <f>IF('Engagement Log'!N76="","",'Engagement Log'!N76)</f>
        <v/>
      </c>
      <c r="G71" s="70" t="str">
        <f>IF('Engagement Log'!C76="","",'Engagement Log'!C76)</f>
        <v/>
      </c>
      <c r="H71" s="71" t="str">
        <f>IF('Engagement Log'!P76="","",'Engagement Log'!P76)</f>
        <v/>
      </c>
      <c r="I71" s="71" t="str">
        <f>IF('Engagement Log'!Q76="","",'Engagement Log'!Q76)</f>
        <v/>
      </c>
      <c r="J71" s="72" t="str">
        <f>IF('Engagement Log'!L76="","",'Engagement Log'!L76)</f>
        <v/>
      </c>
    </row>
    <row r="72" spans="1:10" x14ac:dyDescent="0.3">
      <c r="A72" s="73" t="str">
        <f>IF('Engagement Log'!O77="","",'Engagement Log'!O77)</f>
        <v/>
      </c>
      <c r="B72" s="74" t="str">
        <f ca="1">IF('Engagement Log'!O77="","",'Engagement Log'!O77-TODAY())</f>
        <v/>
      </c>
      <c r="C72" s="75" t="str">
        <f>IF('Engagement Log'!B77="","",'Engagement Log'!B77)</f>
        <v/>
      </c>
      <c r="D72" s="75" t="str">
        <f>IF('Engagement Log'!D77="","",'Engagement Log'!D77)</f>
        <v/>
      </c>
      <c r="E72" s="75" t="str">
        <f>IF('Engagement Log'!G77="","",'Engagement Log'!G77)</f>
        <v/>
      </c>
      <c r="F72" s="75" t="str">
        <f>IF('Engagement Log'!N77="","",'Engagement Log'!N77)</f>
        <v/>
      </c>
      <c r="G72" s="75" t="str">
        <f>IF('Engagement Log'!C77="","",'Engagement Log'!C77)</f>
        <v/>
      </c>
      <c r="H72" s="76" t="str">
        <f>IF('Engagement Log'!P77="","",'Engagement Log'!P77)</f>
        <v/>
      </c>
      <c r="I72" s="76" t="str">
        <f>IF('Engagement Log'!Q77="","",'Engagement Log'!Q77)</f>
        <v/>
      </c>
      <c r="J72" s="77" t="str">
        <f>IF('Engagement Log'!L77="","",'Engagement Log'!L77)</f>
        <v/>
      </c>
    </row>
    <row r="73" spans="1:10" x14ac:dyDescent="0.3">
      <c r="A73" s="68" t="str">
        <f>IF('Engagement Log'!O78="","",'Engagement Log'!O78)</f>
        <v/>
      </c>
      <c r="B73" s="69" t="str">
        <f ca="1">IF('Engagement Log'!O78="","",'Engagement Log'!O78-TODAY())</f>
        <v/>
      </c>
      <c r="C73" s="70" t="str">
        <f>IF('Engagement Log'!B78="","",'Engagement Log'!B78)</f>
        <v/>
      </c>
      <c r="D73" s="70" t="str">
        <f>IF('Engagement Log'!D78="","",'Engagement Log'!D78)</f>
        <v/>
      </c>
      <c r="E73" s="70" t="str">
        <f>IF('Engagement Log'!G78="","",'Engagement Log'!G78)</f>
        <v/>
      </c>
      <c r="F73" s="70" t="str">
        <f>IF('Engagement Log'!N78="","",'Engagement Log'!N78)</f>
        <v/>
      </c>
      <c r="G73" s="70" t="str">
        <f>IF('Engagement Log'!C78="","",'Engagement Log'!C78)</f>
        <v/>
      </c>
      <c r="H73" s="71" t="str">
        <f>IF('Engagement Log'!P78="","",'Engagement Log'!P78)</f>
        <v/>
      </c>
      <c r="I73" s="71" t="str">
        <f>IF('Engagement Log'!Q78="","",'Engagement Log'!Q78)</f>
        <v/>
      </c>
      <c r="J73" s="72" t="str">
        <f>IF('Engagement Log'!L78="","",'Engagement Log'!L78)</f>
        <v/>
      </c>
    </row>
    <row r="74" spans="1:10" x14ac:dyDescent="0.3">
      <c r="A74" s="73" t="str">
        <f>IF('Engagement Log'!O79="","",'Engagement Log'!O79)</f>
        <v/>
      </c>
      <c r="B74" s="74" t="str">
        <f ca="1">IF('Engagement Log'!O79="","",'Engagement Log'!O79-TODAY())</f>
        <v/>
      </c>
      <c r="C74" s="75" t="str">
        <f>IF('Engagement Log'!B79="","",'Engagement Log'!B79)</f>
        <v/>
      </c>
      <c r="D74" s="75" t="str">
        <f>IF('Engagement Log'!D79="","",'Engagement Log'!D79)</f>
        <v/>
      </c>
      <c r="E74" s="75" t="str">
        <f>IF('Engagement Log'!G79="","",'Engagement Log'!G79)</f>
        <v/>
      </c>
      <c r="F74" s="75" t="str">
        <f>IF('Engagement Log'!N79="","",'Engagement Log'!N79)</f>
        <v/>
      </c>
      <c r="G74" s="75" t="str">
        <f>IF('Engagement Log'!C79="","",'Engagement Log'!C79)</f>
        <v/>
      </c>
      <c r="H74" s="76" t="str">
        <f>IF('Engagement Log'!P79="","",'Engagement Log'!P79)</f>
        <v/>
      </c>
      <c r="I74" s="76" t="str">
        <f>IF('Engagement Log'!Q79="","",'Engagement Log'!Q79)</f>
        <v/>
      </c>
      <c r="J74" s="77" t="str">
        <f>IF('Engagement Log'!L79="","",'Engagement Log'!L79)</f>
        <v/>
      </c>
    </row>
    <row r="75" spans="1:10" x14ac:dyDescent="0.3">
      <c r="A75" s="68" t="str">
        <f>IF('Engagement Log'!O80="","",'Engagement Log'!O80)</f>
        <v/>
      </c>
      <c r="B75" s="69" t="str">
        <f ca="1">IF('Engagement Log'!O80="","",'Engagement Log'!O80-TODAY())</f>
        <v/>
      </c>
      <c r="C75" s="70" t="str">
        <f>IF('Engagement Log'!B80="","",'Engagement Log'!B80)</f>
        <v/>
      </c>
      <c r="D75" s="70" t="str">
        <f>IF('Engagement Log'!D80="","",'Engagement Log'!D80)</f>
        <v/>
      </c>
      <c r="E75" s="70" t="str">
        <f>IF('Engagement Log'!G80="","",'Engagement Log'!G80)</f>
        <v/>
      </c>
      <c r="F75" s="70" t="str">
        <f>IF('Engagement Log'!N80="","",'Engagement Log'!N80)</f>
        <v/>
      </c>
      <c r="G75" s="70" t="str">
        <f>IF('Engagement Log'!C80="","",'Engagement Log'!C80)</f>
        <v/>
      </c>
      <c r="H75" s="71" t="str">
        <f>IF('Engagement Log'!P80="","",'Engagement Log'!P80)</f>
        <v/>
      </c>
      <c r="I75" s="71" t="str">
        <f>IF('Engagement Log'!Q80="","",'Engagement Log'!Q80)</f>
        <v/>
      </c>
      <c r="J75" s="72" t="str">
        <f>IF('Engagement Log'!L80="","",'Engagement Log'!L80)</f>
        <v/>
      </c>
    </row>
    <row r="76" spans="1:10" x14ac:dyDescent="0.3">
      <c r="A76" s="73" t="str">
        <f>IF('Engagement Log'!O81="","",'Engagement Log'!O81)</f>
        <v/>
      </c>
      <c r="B76" s="74" t="str">
        <f ca="1">IF('Engagement Log'!O81="","",'Engagement Log'!O81-TODAY())</f>
        <v/>
      </c>
      <c r="C76" s="75" t="str">
        <f>IF('Engagement Log'!B81="","",'Engagement Log'!B81)</f>
        <v/>
      </c>
      <c r="D76" s="75" t="str">
        <f>IF('Engagement Log'!D81="","",'Engagement Log'!D81)</f>
        <v/>
      </c>
      <c r="E76" s="75" t="str">
        <f>IF('Engagement Log'!G81="","",'Engagement Log'!G81)</f>
        <v/>
      </c>
      <c r="F76" s="75" t="str">
        <f>IF('Engagement Log'!N81="","",'Engagement Log'!N81)</f>
        <v/>
      </c>
      <c r="G76" s="75" t="str">
        <f>IF('Engagement Log'!C81="","",'Engagement Log'!C81)</f>
        <v/>
      </c>
      <c r="H76" s="76" t="str">
        <f>IF('Engagement Log'!P81="","",'Engagement Log'!P81)</f>
        <v/>
      </c>
      <c r="I76" s="76" t="str">
        <f>IF('Engagement Log'!Q81="","",'Engagement Log'!Q81)</f>
        <v/>
      </c>
      <c r="J76" s="77" t="str">
        <f>IF('Engagement Log'!L81="","",'Engagement Log'!L81)</f>
        <v/>
      </c>
    </row>
    <row r="77" spans="1:10" x14ac:dyDescent="0.3">
      <c r="A77" s="68" t="str">
        <f>IF('Engagement Log'!O82="","",'Engagement Log'!O82)</f>
        <v/>
      </c>
      <c r="B77" s="69" t="str">
        <f ca="1">IF('Engagement Log'!O82="","",'Engagement Log'!O82-TODAY())</f>
        <v/>
      </c>
      <c r="C77" s="70" t="str">
        <f>IF('Engagement Log'!B82="","",'Engagement Log'!B82)</f>
        <v/>
      </c>
      <c r="D77" s="70" t="str">
        <f>IF('Engagement Log'!D82="","",'Engagement Log'!D82)</f>
        <v/>
      </c>
      <c r="E77" s="70" t="str">
        <f>IF('Engagement Log'!G82="","",'Engagement Log'!G82)</f>
        <v/>
      </c>
      <c r="F77" s="70" t="str">
        <f>IF('Engagement Log'!N82="","",'Engagement Log'!N82)</f>
        <v/>
      </c>
      <c r="G77" s="70" t="str">
        <f>IF('Engagement Log'!C82="","",'Engagement Log'!C82)</f>
        <v/>
      </c>
      <c r="H77" s="71" t="str">
        <f>IF('Engagement Log'!P82="","",'Engagement Log'!P82)</f>
        <v/>
      </c>
      <c r="I77" s="71" t="str">
        <f>IF('Engagement Log'!Q82="","",'Engagement Log'!Q82)</f>
        <v/>
      </c>
      <c r="J77" s="72" t="str">
        <f>IF('Engagement Log'!L82="","",'Engagement Log'!L82)</f>
        <v/>
      </c>
    </row>
    <row r="78" spans="1:10" x14ac:dyDescent="0.3">
      <c r="A78" s="73" t="str">
        <f>IF('Engagement Log'!O83="","",'Engagement Log'!O83)</f>
        <v/>
      </c>
      <c r="B78" s="74" t="str">
        <f ca="1">IF('Engagement Log'!O83="","",'Engagement Log'!O83-TODAY())</f>
        <v/>
      </c>
      <c r="C78" s="75" t="str">
        <f>IF('Engagement Log'!B83="","",'Engagement Log'!B83)</f>
        <v/>
      </c>
      <c r="D78" s="75" t="str">
        <f>IF('Engagement Log'!D83="","",'Engagement Log'!D83)</f>
        <v/>
      </c>
      <c r="E78" s="75" t="str">
        <f>IF('Engagement Log'!G83="","",'Engagement Log'!G83)</f>
        <v/>
      </c>
      <c r="F78" s="75" t="str">
        <f>IF('Engagement Log'!N83="","",'Engagement Log'!N83)</f>
        <v/>
      </c>
      <c r="G78" s="75" t="str">
        <f>IF('Engagement Log'!C83="","",'Engagement Log'!C83)</f>
        <v/>
      </c>
      <c r="H78" s="76" t="str">
        <f>IF('Engagement Log'!P83="","",'Engagement Log'!P83)</f>
        <v/>
      </c>
      <c r="I78" s="76" t="str">
        <f>IF('Engagement Log'!Q83="","",'Engagement Log'!Q83)</f>
        <v/>
      </c>
      <c r="J78" s="77" t="str">
        <f>IF('Engagement Log'!L83="","",'Engagement Log'!L83)</f>
        <v/>
      </c>
    </row>
    <row r="79" spans="1:10" x14ac:dyDescent="0.3">
      <c r="A79" s="68" t="str">
        <f>IF('Engagement Log'!O84="","",'Engagement Log'!O84)</f>
        <v/>
      </c>
      <c r="B79" s="69" t="str">
        <f ca="1">IF('Engagement Log'!O84="","",'Engagement Log'!O84-TODAY())</f>
        <v/>
      </c>
      <c r="C79" s="70" t="str">
        <f>IF('Engagement Log'!B84="","",'Engagement Log'!B84)</f>
        <v/>
      </c>
      <c r="D79" s="70" t="str">
        <f>IF('Engagement Log'!D84="","",'Engagement Log'!D84)</f>
        <v/>
      </c>
      <c r="E79" s="70" t="str">
        <f>IF('Engagement Log'!G84="","",'Engagement Log'!G84)</f>
        <v/>
      </c>
      <c r="F79" s="70" t="str">
        <f>IF('Engagement Log'!N84="","",'Engagement Log'!N84)</f>
        <v/>
      </c>
      <c r="G79" s="70" t="str">
        <f>IF('Engagement Log'!C84="","",'Engagement Log'!C84)</f>
        <v/>
      </c>
      <c r="H79" s="71" t="str">
        <f>IF('Engagement Log'!P84="","",'Engagement Log'!P84)</f>
        <v/>
      </c>
      <c r="I79" s="71" t="str">
        <f>IF('Engagement Log'!Q84="","",'Engagement Log'!Q84)</f>
        <v/>
      </c>
      <c r="J79" s="72" t="str">
        <f>IF('Engagement Log'!L84="","",'Engagement Log'!L84)</f>
        <v/>
      </c>
    </row>
    <row r="80" spans="1:10" x14ac:dyDescent="0.3">
      <c r="A80" s="73" t="str">
        <f>IF('Engagement Log'!O85="","",'Engagement Log'!O85)</f>
        <v/>
      </c>
      <c r="B80" s="74" t="str">
        <f ca="1">IF('Engagement Log'!O85="","",'Engagement Log'!O85-TODAY())</f>
        <v/>
      </c>
      <c r="C80" s="75" t="str">
        <f>IF('Engagement Log'!B85="","",'Engagement Log'!B85)</f>
        <v/>
      </c>
      <c r="D80" s="75" t="str">
        <f>IF('Engagement Log'!D85="","",'Engagement Log'!D85)</f>
        <v/>
      </c>
      <c r="E80" s="75" t="str">
        <f>IF('Engagement Log'!G85="","",'Engagement Log'!G85)</f>
        <v/>
      </c>
      <c r="F80" s="75" t="str">
        <f>IF('Engagement Log'!N85="","",'Engagement Log'!N85)</f>
        <v/>
      </c>
      <c r="G80" s="75" t="str">
        <f>IF('Engagement Log'!C85="","",'Engagement Log'!C85)</f>
        <v/>
      </c>
      <c r="H80" s="76" t="str">
        <f>IF('Engagement Log'!P85="","",'Engagement Log'!P85)</f>
        <v/>
      </c>
      <c r="I80" s="76" t="str">
        <f>IF('Engagement Log'!Q85="","",'Engagement Log'!Q85)</f>
        <v/>
      </c>
      <c r="J80" s="77" t="str">
        <f>IF('Engagement Log'!L85="","",'Engagement Log'!L85)</f>
        <v/>
      </c>
    </row>
    <row r="81" spans="1:10" x14ac:dyDescent="0.3">
      <c r="A81" s="68" t="str">
        <f>IF('Engagement Log'!O86="","",'Engagement Log'!O86)</f>
        <v/>
      </c>
      <c r="B81" s="69" t="str">
        <f ca="1">IF('Engagement Log'!O86="","",'Engagement Log'!O86-TODAY())</f>
        <v/>
      </c>
      <c r="C81" s="70" t="str">
        <f>IF('Engagement Log'!B86="","",'Engagement Log'!B86)</f>
        <v/>
      </c>
      <c r="D81" s="70" t="str">
        <f>IF('Engagement Log'!D86="","",'Engagement Log'!D86)</f>
        <v/>
      </c>
      <c r="E81" s="70" t="str">
        <f>IF('Engagement Log'!G86="","",'Engagement Log'!G86)</f>
        <v/>
      </c>
      <c r="F81" s="70" t="str">
        <f>IF('Engagement Log'!N86="","",'Engagement Log'!N86)</f>
        <v/>
      </c>
      <c r="G81" s="70" t="str">
        <f>IF('Engagement Log'!C86="","",'Engagement Log'!C86)</f>
        <v/>
      </c>
      <c r="H81" s="71" t="str">
        <f>IF('Engagement Log'!P86="","",'Engagement Log'!P86)</f>
        <v/>
      </c>
      <c r="I81" s="71" t="str">
        <f>IF('Engagement Log'!Q86="","",'Engagement Log'!Q86)</f>
        <v/>
      </c>
      <c r="J81" s="72" t="str">
        <f>IF('Engagement Log'!L86="","",'Engagement Log'!L86)</f>
        <v/>
      </c>
    </row>
    <row r="82" spans="1:10" x14ac:dyDescent="0.3">
      <c r="A82" s="73" t="str">
        <f>IF('Engagement Log'!O87="","",'Engagement Log'!O87)</f>
        <v/>
      </c>
      <c r="B82" s="74" t="str">
        <f ca="1">IF('Engagement Log'!O87="","",'Engagement Log'!O87-TODAY())</f>
        <v/>
      </c>
      <c r="C82" s="75" t="str">
        <f>IF('Engagement Log'!B87="","",'Engagement Log'!B87)</f>
        <v/>
      </c>
      <c r="D82" s="75" t="str">
        <f>IF('Engagement Log'!D87="","",'Engagement Log'!D87)</f>
        <v/>
      </c>
      <c r="E82" s="75" t="str">
        <f>IF('Engagement Log'!G87="","",'Engagement Log'!G87)</f>
        <v/>
      </c>
      <c r="F82" s="75" t="str">
        <f>IF('Engagement Log'!N87="","",'Engagement Log'!N87)</f>
        <v/>
      </c>
      <c r="G82" s="75" t="str">
        <f>IF('Engagement Log'!C87="","",'Engagement Log'!C87)</f>
        <v/>
      </c>
      <c r="H82" s="76" t="str">
        <f>IF('Engagement Log'!P87="","",'Engagement Log'!P87)</f>
        <v/>
      </c>
      <c r="I82" s="76" t="str">
        <f>IF('Engagement Log'!Q87="","",'Engagement Log'!Q87)</f>
        <v/>
      </c>
      <c r="J82" s="77" t="str">
        <f>IF('Engagement Log'!L87="","",'Engagement Log'!L87)</f>
        <v/>
      </c>
    </row>
    <row r="83" spans="1:10" x14ac:dyDescent="0.3">
      <c r="A83" s="68" t="str">
        <f>IF('Engagement Log'!O88="","",'Engagement Log'!O88)</f>
        <v/>
      </c>
      <c r="B83" s="69" t="str">
        <f ca="1">IF('Engagement Log'!O88="","",'Engagement Log'!O88-TODAY())</f>
        <v/>
      </c>
      <c r="C83" s="70" t="str">
        <f>IF('Engagement Log'!B88="","",'Engagement Log'!B88)</f>
        <v/>
      </c>
      <c r="D83" s="70" t="str">
        <f>IF('Engagement Log'!D88="","",'Engagement Log'!D88)</f>
        <v/>
      </c>
      <c r="E83" s="70" t="str">
        <f>IF('Engagement Log'!G88="","",'Engagement Log'!G88)</f>
        <v/>
      </c>
      <c r="F83" s="70" t="str">
        <f>IF('Engagement Log'!N88="","",'Engagement Log'!N88)</f>
        <v/>
      </c>
      <c r="G83" s="70" t="str">
        <f>IF('Engagement Log'!C88="","",'Engagement Log'!C88)</f>
        <v/>
      </c>
      <c r="H83" s="71" t="str">
        <f>IF('Engagement Log'!P88="","",'Engagement Log'!P88)</f>
        <v/>
      </c>
      <c r="I83" s="71" t="str">
        <f>IF('Engagement Log'!Q88="","",'Engagement Log'!Q88)</f>
        <v/>
      </c>
      <c r="J83" s="72" t="str">
        <f>IF('Engagement Log'!L88="","",'Engagement Log'!L88)</f>
        <v/>
      </c>
    </row>
    <row r="84" spans="1:10" x14ac:dyDescent="0.3">
      <c r="A84" s="73" t="str">
        <f>IF('Engagement Log'!O89="","",'Engagement Log'!O89)</f>
        <v/>
      </c>
      <c r="B84" s="74" t="str">
        <f ca="1">IF('Engagement Log'!O89="","",'Engagement Log'!O89-TODAY())</f>
        <v/>
      </c>
      <c r="C84" s="75" t="str">
        <f>IF('Engagement Log'!B89="","",'Engagement Log'!B89)</f>
        <v/>
      </c>
      <c r="D84" s="75" t="str">
        <f>IF('Engagement Log'!D89="","",'Engagement Log'!D89)</f>
        <v/>
      </c>
      <c r="E84" s="75" t="str">
        <f>IF('Engagement Log'!G89="","",'Engagement Log'!G89)</f>
        <v/>
      </c>
      <c r="F84" s="75" t="str">
        <f>IF('Engagement Log'!N89="","",'Engagement Log'!N89)</f>
        <v/>
      </c>
      <c r="G84" s="75" t="str">
        <f>IF('Engagement Log'!C89="","",'Engagement Log'!C89)</f>
        <v/>
      </c>
      <c r="H84" s="76" t="str">
        <f>IF('Engagement Log'!P89="","",'Engagement Log'!P89)</f>
        <v/>
      </c>
      <c r="I84" s="76" t="str">
        <f>IF('Engagement Log'!Q89="","",'Engagement Log'!Q89)</f>
        <v/>
      </c>
      <c r="J84" s="77" t="str">
        <f>IF('Engagement Log'!L89="","",'Engagement Log'!L89)</f>
        <v/>
      </c>
    </row>
    <row r="85" spans="1:10" x14ac:dyDescent="0.3">
      <c r="A85" s="68" t="str">
        <f>IF('Engagement Log'!O90="","",'Engagement Log'!O90)</f>
        <v/>
      </c>
      <c r="B85" s="69" t="str">
        <f ca="1">IF('Engagement Log'!O90="","",'Engagement Log'!O90-TODAY())</f>
        <v/>
      </c>
      <c r="C85" s="70" t="str">
        <f>IF('Engagement Log'!B90="","",'Engagement Log'!B90)</f>
        <v/>
      </c>
      <c r="D85" s="70" t="str">
        <f>IF('Engagement Log'!D90="","",'Engagement Log'!D90)</f>
        <v/>
      </c>
      <c r="E85" s="70" t="str">
        <f>IF('Engagement Log'!G90="","",'Engagement Log'!G90)</f>
        <v/>
      </c>
      <c r="F85" s="70" t="str">
        <f>IF('Engagement Log'!N90="","",'Engagement Log'!N90)</f>
        <v/>
      </c>
      <c r="G85" s="70" t="str">
        <f>IF('Engagement Log'!C90="","",'Engagement Log'!C90)</f>
        <v/>
      </c>
      <c r="H85" s="71" t="str">
        <f>IF('Engagement Log'!P90="","",'Engagement Log'!P90)</f>
        <v/>
      </c>
      <c r="I85" s="71" t="str">
        <f>IF('Engagement Log'!Q90="","",'Engagement Log'!Q90)</f>
        <v/>
      </c>
      <c r="J85" s="72" t="str">
        <f>IF('Engagement Log'!L90="","",'Engagement Log'!L90)</f>
        <v/>
      </c>
    </row>
    <row r="86" spans="1:10" x14ac:dyDescent="0.3">
      <c r="A86" s="73" t="str">
        <f>IF('Engagement Log'!O91="","",'Engagement Log'!O91)</f>
        <v/>
      </c>
      <c r="B86" s="74" t="str">
        <f ca="1">IF('Engagement Log'!O91="","",'Engagement Log'!O91-TODAY())</f>
        <v/>
      </c>
      <c r="C86" s="75" t="str">
        <f>IF('Engagement Log'!B91="","",'Engagement Log'!B91)</f>
        <v/>
      </c>
      <c r="D86" s="75" t="str">
        <f>IF('Engagement Log'!D91="","",'Engagement Log'!D91)</f>
        <v/>
      </c>
      <c r="E86" s="75" t="str">
        <f>IF('Engagement Log'!G91="","",'Engagement Log'!G91)</f>
        <v/>
      </c>
      <c r="F86" s="75" t="str">
        <f>IF('Engagement Log'!N91="","",'Engagement Log'!N91)</f>
        <v/>
      </c>
      <c r="G86" s="75" t="str">
        <f>IF('Engagement Log'!C91="","",'Engagement Log'!C91)</f>
        <v/>
      </c>
      <c r="H86" s="76" t="str">
        <f>IF('Engagement Log'!P91="","",'Engagement Log'!P91)</f>
        <v/>
      </c>
      <c r="I86" s="76" t="str">
        <f>IF('Engagement Log'!Q91="","",'Engagement Log'!Q91)</f>
        <v/>
      </c>
      <c r="J86" s="77" t="str">
        <f>IF('Engagement Log'!L91="","",'Engagement Log'!L91)</f>
        <v/>
      </c>
    </row>
    <row r="87" spans="1:10" x14ac:dyDescent="0.3">
      <c r="A87" s="68" t="str">
        <f>IF('Engagement Log'!O92="","",'Engagement Log'!O92)</f>
        <v/>
      </c>
      <c r="B87" s="69" t="str">
        <f ca="1">IF('Engagement Log'!O92="","",'Engagement Log'!O92-TODAY())</f>
        <v/>
      </c>
      <c r="C87" s="70" t="str">
        <f>IF('Engagement Log'!B92="","",'Engagement Log'!B92)</f>
        <v/>
      </c>
      <c r="D87" s="70" t="str">
        <f>IF('Engagement Log'!D92="","",'Engagement Log'!D92)</f>
        <v/>
      </c>
      <c r="E87" s="70" t="str">
        <f>IF('Engagement Log'!G92="","",'Engagement Log'!G92)</f>
        <v/>
      </c>
      <c r="F87" s="70" t="str">
        <f>IF('Engagement Log'!N92="","",'Engagement Log'!N92)</f>
        <v/>
      </c>
      <c r="G87" s="70" t="str">
        <f>IF('Engagement Log'!C92="","",'Engagement Log'!C92)</f>
        <v/>
      </c>
      <c r="H87" s="71" t="str">
        <f>IF('Engagement Log'!P92="","",'Engagement Log'!P92)</f>
        <v/>
      </c>
      <c r="I87" s="71" t="str">
        <f>IF('Engagement Log'!Q92="","",'Engagement Log'!Q92)</f>
        <v/>
      </c>
      <c r="J87" s="72" t="str">
        <f>IF('Engagement Log'!L92="","",'Engagement Log'!L92)</f>
        <v/>
      </c>
    </row>
    <row r="88" spans="1:10" x14ac:dyDescent="0.3">
      <c r="A88" s="73" t="str">
        <f>IF('Engagement Log'!O93="","",'Engagement Log'!O93)</f>
        <v/>
      </c>
      <c r="B88" s="74" t="str">
        <f ca="1">IF('Engagement Log'!O93="","",'Engagement Log'!O93-TODAY())</f>
        <v/>
      </c>
      <c r="C88" s="75" t="str">
        <f>IF('Engagement Log'!B93="","",'Engagement Log'!B93)</f>
        <v/>
      </c>
      <c r="D88" s="75" t="str">
        <f>IF('Engagement Log'!D93="","",'Engagement Log'!D93)</f>
        <v/>
      </c>
      <c r="E88" s="75" t="str">
        <f>IF('Engagement Log'!G93="","",'Engagement Log'!G93)</f>
        <v/>
      </c>
      <c r="F88" s="75" t="str">
        <f>IF('Engagement Log'!N93="","",'Engagement Log'!N93)</f>
        <v/>
      </c>
      <c r="G88" s="75" t="str">
        <f>IF('Engagement Log'!C93="","",'Engagement Log'!C93)</f>
        <v/>
      </c>
      <c r="H88" s="76" t="str">
        <f>IF('Engagement Log'!P93="","",'Engagement Log'!P93)</f>
        <v/>
      </c>
      <c r="I88" s="76" t="str">
        <f>IF('Engagement Log'!Q93="","",'Engagement Log'!Q93)</f>
        <v/>
      </c>
      <c r="J88" s="77" t="str">
        <f>IF('Engagement Log'!L93="","",'Engagement Log'!L93)</f>
        <v/>
      </c>
    </row>
    <row r="89" spans="1:10" x14ac:dyDescent="0.3">
      <c r="A89" s="68" t="str">
        <f>IF('Engagement Log'!O94="","",'Engagement Log'!O94)</f>
        <v/>
      </c>
      <c r="B89" s="69" t="str">
        <f ca="1">IF('Engagement Log'!O94="","",'Engagement Log'!O94-TODAY())</f>
        <v/>
      </c>
      <c r="C89" s="70" t="str">
        <f>IF('Engagement Log'!B94="","",'Engagement Log'!B94)</f>
        <v/>
      </c>
      <c r="D89" s="70" t="str">
        <f>IF('Engagement Log'!D94="","",'Engagement Log'!D94)</f>
        <v/>
      </c>
      <c r="E89" s="70" t="str">
        <f>IF('Engagement Log'!G94="","",'Engagement Log'!G94)</f>
        <v/>
      </c>
      <c r="F89" s="70" t="str">
        <f>IF('Engagement Log'!N94="","",'Engagement Log'!N94)</f>
        <v/>
      </c>
      <c r="G89" s="70" t="str">
        <f>IF('Engagement Log'!C94="","",'Engagement Log'!C94)</f>
        <v/>
      </c>
      <c r="H89" s="71" t="str">
        <f>IF('Engagement Log'!P94="","",'Engagement Log'!P94)</f>
        <v/>
      </c>
      <c r="I89" s="71" t="str">
        <f>IF('Engagement Log'!Q94="","",'Engagement Log'!Q94)</f>
        <v/>
      </c>
      <c r="J89" s="72" t="str">
        <f>IF('Engagement Log'!L94="","",'Engagement Log'!L94)</f>
        <v/>
      </c>
    </row>
    <row r="90" spans="1:10" x14ac:dyDescent="0.3">
      <c r="A90" s="73" t="str">
        <f>IF('Engagement Log'!O95="","",'Engagement Log'!O95)</f>
        <v/>
      </c>
      <c r="B90" s="74" t="str">
        <f ca="1">IF('Engagement Log'!O95="","",'Engagement Log'!O95-TODAY())</f>
        <v/>
      </c>
      <c r="C90" s="75" t="str">
        <f>IF('Engagement Log'!B95="","",'Engagement Log'!B95)</f>
        <v/>
      </c>
      <c r="D90" s="75" t="str">
        <f>IF('Engagement Log'!D95="","",'Engagement Log'!D95)</f>
        <v/>
      </c>
      <c r="E90" s="75" t="str">
        <f>IF('Engagement Log'!G95="","",'Engagement Log'!G95)</f>
        <v/>
      </c>
      <c r="F90" s="75" t="str">
        <f>IF('Engagement Log'!N95="","",'Engagement Log'!N95)</f>
        <v/>
      </c>
      <c r="G90" s="75" t="str">
        <f>IF('Engagement Log'!C95="","",'Engagement Log'!C95)</f>
        <v/>
      </c>
      <c r="H90" s="76" t="str">
        <f>IF('Engagement Log'!P95="","",'Engagement Log'!P95)</f>
        <v/>
      </c>
      <c r="I90" s="76" t="str">
        <f>IF('Engagement Log'!Q95="","",'Engagement Log'!Q95)</f>
        <v/>
      </c>
      <c r="J90" s="77" t="str">
        <f>IF('Engagement Log'!L95="","",'Engagement Log'!L95)</f>
        <v/>
      </c>
    </row>
    <row r="91" spans="1:10" x14ac:dyDescent="0.3">
      <c r="A91" s="68" t="str">
        <f>IF('Engagement Log'!O96="","",'Engagement Log'!O96)</f>
        <v/>
      </c>
      <c r="B91" s="69" t="str">
        <f ca="1">IF('Engagement Log'!O96="","",'Engagement Log'!O96-TODAY())</f>
        <v/>
      </c>
      <c r="C91" s="70" t="str">
        <f>IF('Engagement Log'!B96="","",'Engagement Log'!B96)</f>
        <v/>
      </c>
      <c r="D91" s="70" t="str">
        <f>IF('Engagement Log'!D96="","",'Engagement Log'!D96)</f>
        <v/>
      </c>
      <c r="E91" s="70" t="str">
        <f>IF('Engagement Log'!G96="","",'Engagement Log'!G96)</f>
        <v/>
      </c>
      <c r="F91" s="70" t="str">
        <f>IF('Engagement Log'!N96="","",'Engagement Log'!N96)</f>
        <v/>
      </c>
      <c r="G91" s="70" t="str">
        <f>IF('Engagement Log'!C96="","",'Engagement Log'!C96)</f>
        <v/>
      </c>
      <c r="H91" s="71" t="str">
        <f>IF('Engagement Log'!P96="","",'Engagement Log'!P96)</f>
        <v/>
      </c>
      <c r="I91" s="71" t="str">
        <f>IF('Engagement Log'!Q96="","",'Engagement Log'!Q96)</f>
        <v/>
      </c>
      <c r="J91" s="72" t="str">
        <f>IF('Engagement Log'!L96="","",'Engagement Log'!L96)</f>
        <v/>
      </c>
    </row>
    <row r="92" spans="1:10" x14ac:dyDescent="0.3">
      <c r="A92" s="73" t="str">
        <f>IF('Engagement Log'!O97="","",'Engagement Log'!O97)</f>
        <v/>
      </c>
      <c r="B92" s="74" t="str">
        <f ca="1">IF('Engagement Log'!O97="","",'Engagement Log'!O97-TODAY())</f>
        <v/>
      </c>
      <c r="C92" s="75" t="str">
        <f>IF('Engagement Log'!B97="","",'Engagement Log'!B97)</f>
        <v/>
      </c>
      <c r="D92" s="75" t="str">
        <f>IF('Engagement Log'!D97="","",'Engagement Log'!D97)</f>
        <v/>
      </c>
      <c r="E92" s="75" t="str">
        <f>IF('Engagement Log'!G97="","",'Engagement Log'!G97)</f>
        <v/>
      </c>
      <c r="F92" s="75" t="str">
        <f>IF('Engagement Log'!N97="","",'Engagement Log'!N97)</f>
        <v/>
      </c>
      <c r="G92" s="75" t="str">
        <f>IF('Engagement Log'!C97="","",'Engagement Log'!C97)</f>
        <v/>
      </c>
      <c r="H92" s="76" t="str">
        <f>IF('Engagement Log'!P97="","",'Engagement Log'!P97)</f>
        <v/>
      </c>
      <c r="I92" s="76" t="str">
        <f>IF('Engagement Log'!Q97="","",'Engagement Log'!Q97)</f>
        <v/>
      </c>
      <c r="J92" s="77" t="str">
        <f>IF('Engagement Log'!L97="","",'Engagement Log'!L97)</f>
        <v/>
      </c>
    </row>
    <row r="93" spans="1:10" x14ac:dyDescent="0.3">
      <c r="A93" s="68" t="str">
        <f>IF('Engagement Log'!O98="","",'Engagement Log'!O98)</f>
        <v/>
      </c>
      <c r="B93" s="69" t="str">
        <f ca="1">IF('Engagement Log'!O98="","",'Engagement Log'!O98-TODAY())</f>
        <v/>
      </c>
      <c r="C93" s="70" t="str">
        <f>IF('Engagement Log'!B98="","",'Engagement Log'!B98)</f>
        <v/>
      </c>
      <c r="D93" s="70" t="str">
        <f>IF('Engagement Log'!D98="","",'Engagement Log'!D98)</f>
        <v/>
      </c>
      <c r="E93" s="70" t="str">
        <f>IF('Engagement Log'!G98="","",'Engagement Log'!G98)</f>
        <v/>
      </c>
      <c r="F93" s="70" t="str">
        <f>IF('Engagement Log'!N98="","",'Engagement Log'!N98)</f>
        <v/>
      </c>
      <c r="G93" s="70" t="str">
        <f>IF('Engagement Log'!C98="","",'Engagement Log'!C98)</f>
        <v/>
      </c>
      <c r="H93" s="71" t="str">
        <f>IF('Engagement Log'!P98="","",'Engagement Log'!P98)</f>
        <v/>
      </c>
      <c r="I93" s="71" t="str">
        <f>IF('Engagement Log'!Q98="","",'Engagement Log'!Q98)</f>
        <v/>
      </c>
      <c r="J93" s="72" t="str">
        <f>IF('Engagement Log'!L98="","",'Engagement Log'!L98)</f>
        <v/>
      </c>
    </row>
    <row r="94" spans="1:10" x14ac:dyDescent="0.3">
      <c r="A94" s="73" t="str">
        <f>IF('Engagement Log'!O99="","",'Engagement Log'!O99)</f>
        <v/>
      </c>
      <c r="B94" s="74" t="str">
        <f ca="1">IF('Engagement Log'!O99="","",'Engagement Log'!O99-TODAY())</f>
        <v/>
      </c>
      <c r="C94" s="75" t="str">
        <f>IF('Engagement Log'!B99="","",'Engagement Log'!B99)</f>
        <v/>
      </c>
      <c r="D94" s="75" t="str">
        <f>IF('Engagement Log'!D99="","",'Engagement Log'!D99)</f>
        <v/>
      </c>
      <c r="E94" s="75" t="str">
        <f>IF('Engagement Log'!G99="","",'Engagement Log'!G99)</f>
        <v/>
      </c>
      <c r="F94" s="75" t="str">
        <f>IF('Engagement Log'!N99="","",'Engagement Log'!N99)</f>
        <v/>
      </c>
      <c r="G94" s="75" t="str">
        <f>IF('Engagement Log'!C99="","",'Engagement Log'!C99)</f>
        <v/>
      </c>
      <c r="H94" s="76" t="str">
        <f>IF('Engagement Log'!P99="","",'Engagement Log'!P99)</f>
        <v/>
      </c>
      <c r="I94" s="76" t="str">
        <f>IF('Engagement Log'!Q99="","",'Engagement Log'!Q99)</f>
        <v/>
      </c>
      <c r="J94" s="77" t="str">
        <f>IF('Engagement Log'!L99="","",'Engagement Log'!L99)</f>
        <v/>
      </c>
    </row>
    <row r="95" spans="1:10" x14ac:dyDescent="0.3">
      <c r="A95" s="68" t="str">
        <f>IF('Engagement Log'!O100="","",'Engagement Log'!O100)</f>
        <v/>
      </c>
      <c r="B95" s="69" t="str">
        <f ca="1">IF('Engagement Log'!O100="","",'Engagement Log'!O100-TODAY())</f>
        <v/>
      </c>
      <c r="C95" s="70" t="str">
        <f>IF('Engagement Log'!B100="","",'Engagement Log'!B100)</f>
        <v/>
      </c>
      <c r="D95" s="70" t="str">
        <f>IF('Engagement Log'!D100="","",'Engagement Log'!D100)</f>
        <v/>
      </c>
      <c r="E95" s="70" t="str">
        <f>IF('Engagement Log'!G100="","",'Engagement Log'!G100)</f>
        <v/>
      </c>
      <c r="F95" s="70" t="str">
        <f>IF('Engagement Log'!N100="","",'Engagement Log'!N100)</f>
        <v/>
      </c>
      <c r="G95" s="70" t="str">
        <f>IF('Engagement Log'!C100="","",'Engagement Log'!C100)</f>
        <v/>
      </c>
      <c r="H95" s="71" t="str">
        <f>IF('Engagement Log'!P100="","",'Engagement Log'!P100)</f>
        <v/>
      </c>
      <c r="I95" s="71" t="str">
        <f>IF('Engagement Log'!Q100="","",'Engagement Log'!Q100)</f>
        <v/>
      </c>
      <c r="J95" s="72" t="str">
        <f>IF('Engagement Log'!L100="","",'Engagement Log'!L100)</f>
        <v/>
      </c>
    </row>
    <row r="96" spans="1:10" x14ac:dyDescent="0.3">
      <c r="A96" s="73" t="str">
        <f>IF('Engagement Log'!O101="","",'Engagement Log'!O101)</f>
        <v/>
      </c>
      <c r="B96" s="74" t="str">
        <f ca="1">IF('Engagement Log'!O101="","",'Engagement Log'!O101-TODAY())</f>
        <v/>
      </c>
      <c r="C96" s="75" t="str">
        <f>IF('Engagement Log'!B101="","",'Engagement Log'!B101)</f>
        <v/>
      </c>
      <c r="D96" s="75" t="str">
        <f>IF('Engagement Log'!D101="","",'Engagement Log'!D101)</f>
        <v/>
      </c>
      <c r="E96" s="75" t="str">
        <f>IF('Engagement Log'!G101="","",'Engagement Log'!G101)</f>
        <v/>
      </c>
      <c r="F96" s="75" t="str">
        <f>IF('Engagement Log'!N101="","",'Engagement Log'!N101)</f>
        <v/>
      </c>
      <c r="G96" s="75" t="str">
        <f>IF('Engagement Log'!C101="","",'Engagement Log'!C101)</f>
        <v/>
      </c>
      <c r="H96" s="76" t="str">
        <f>IF('Engagement Log'!P101="","",'Engagement Log'!P101)</f>
        <v/>
      </c>
      <c r="I96" s="76" t="str">
        <f>IF('Engagement Log'!Q101="","",'Engagement Log'!Q101)</f>
        <v/>
      </c>
      <c r="J96" s="77" t="str">
        <f>IF('Engagement Log'!L101="","",'Engagement Log'!L101)</f>
        <v/>
      </c>
    </row>
    <row r="97" spans="1:10" x14ac:dyDescent="0.3">
      <c r="A97" s="68" t="str">
        <f>IF('Engagement Log'!O102="","",'Engagement Log'!O102)</f>
        <v/>
      </c>
      <c r="B97" s="69" t="str">
        <f ca="1">IF('Engagement Log'!O102="","",'Engagement Log'!O102-TODAY())</f>
        <v/>
      </c>
      <c r="C97" s="70" t="str">
        <f>IF('Engagement Log'!B102="","",'Engagement Log'!B102)</f>
        <v/>
      </c>
      <c r="D97" s="70" t="str">
        <f>IF('Engagement Log'!D102="","",'Engagement Log'!D102)</f>
        <v/>
      </c>
      <c r="E97" s="70" t="str">
        <f>IF('Engagement Log'!G102="","",'Engagement Log'!G102)</f>
        <v/>
      </c>
      <c r="F97" s="70" t="str">
        <f>IF('Engagement Log'!N102="","",'Engagement Log'!N102)</f>
        <v/>
      </c>
      <c r="G97" s="70" t="str">
        <f>IF('Engagement Log'!C102="","",'Engagement Log'!C102)</f>
        <v/>
      </c>
      <c r="H97" s="71" t="str">
        <f>IF('Engagement Log'!P102="","",'Engagement Log'!P102)</f>
        <v/>
      </c>
      <c r="I97" s="71" t="str">
        <f>IF('Engagement Log'!Q102="","",'Engagement Log'!Q102)</f>
        <v/>
      </c>
      <c r="J97" s="72" t="str">
        <f>IF('Engagement Log'!L102="","",'Engagement Log'!L102)</f>
        <v/>
      </c>
    </row>
    <row r="98" spans="1:10" x14ac:dyDescent="0.3">
      <c r="A98" s="73" t="str">
        <f>IF('Engagement Log'!O103="","",'Engagement Log'!O103)</f>
        <v/>
      </c>
      <c r="B98" s="74" t="str">
        <f ca="1">IF('Engagement Log'!O103="","",'Engagement Log'!O103-TODAY())</f>
        <v/>
      </c>
      <c r="C98" s="75" t="str">
        <f>IF('Engagement Log'!B103="","",'Engagement Log'!B103)</f>
        <v/>
      </c>
      <c r="D98" s="75" t="str">
        <f>IF('Engagement Log'!D103="","",'Engagement Log'!D103)</f>
        <v/>
      </c>
      <c r="E98" s="75" t="str">
        <f>IF('Engagement Log'!G103="","",'Engagement Log'!G103)</f>
        <v/>
      </c>
      <c r="F98" s="75" t="str">
        <f>IF('Engagement Log'!N103="","",'Engagement Log'!N103)</f>
        <v/>
      </c>
      <c r="G98" s="75" t="str">
        <f>IF('Engagement Log'!C103="","",'Engagement Log'!C103)</f>
        <v/>
      </c>
      <c r="H98" s="76" t="str">
        <f>IF('Engagement Log'!P103="","",'Engagement Log'!P103)</f>
        <v/>
      </c>
      <c r="I98" s="76" t="str">
        <f>IF('Engagement Log'!Q103="","",'Engagement Log'!Q103)</f>
        <v/>
      </c>
      <c r="J98" s="77" t="str">
        <f>IF('Engagement Log'!L103="","",'Engagement Log'!L103)</f>
        <v/>
      </c>
    </row>
    <row r="99" spans="1:10" x14ac:dyDescent="0.3">
      <c r="A99" s="68" t="str">
        <f>IF('Engagement Log'!O104="","",'Engagement Log'!O104)</f>
        <v/>
      </c>
      <c r="B99" s="69" t="str">
        <f ca="1">IF('Engagement Log'!O104="","",'Engagement Log'!O104-TODAY())</f>
        <v/>
      </c>
      <c r="C99" s="70" t="str">
        <f>IF('Engagement Log'!B104="","",'Engagement Log'!B104)</f>
        <v/>
      </c>
      <c r="D99" s="70" t="str">
        <f>IF('Engagement Log'!D104="","",'Engagement Log'!D104)</f>
        <v/>
      </c>
      <c r="E99" s="70" t="str">
        <f>IF('Engagement Log'!G104="","",'Engagement Log'!G104)</f>
        <v/>
      </c>
      <c r="F99" s="70" t="str">
        <f>IF('Engagement Log'!N104="","",'Engagement Log'!N104)</f>
        <v/>
      </c>
      <c r="G99" s="70" t="str">
        <f>IF('Engagement Log'!C104="","",'Engagement Log'!C104)</f>
        <v/>
      </c>
      <c r="H99" s="71" t="str">
        <f>IF('Engagement Log'!P104="","",'Engagement Log'!P104)</f>
        <v/>
      </c>
      <c r="I99" s="71" t="str">
        <f>IF('Engagement Log'!Q104="","",'Engagement Log'!Q104)</f>
        <v/>
      </c>
      <c r="J99" s="72" t="str">
        <f>IF('Engagement Log'!L104="","",'Engagement Log'!L104)</f>
        <v/>
      </c>
    </row>
    <row r="100" spans="1:10" x14ac:dyDescent="0.3">
      <c r="A100" s="73" t="str">
        <f>IF('Engagement Log'!O105="","",'Engagement Log'!O105)</f>
        <v/>
      </c>
      <c r="B100" s="74" t="str">
        <f ca="1">IF('Engagement Log'!O105="","",'Engagement Log'!O105-TODAY())</f>
        <v/>
      </c>
      <c r="C100" s="75" t="str">
        <f>IF('Engagement Log'!B105="","",'Engagement Log'!B105)</f>
        <v/>
      </c>
      <c r="D100" s="75" t="str">
        <f>IF('Engagement Log'!D105="","",'Engagement Log'!D105)</f>
        <v/>
      </c>
      <c r="E100" s="75" t="str">
        <f>IF('Engagement Log'!G105="","",'Engagement Log'!G105)</f>
        <v/>
      </c>
      <c r="F100" s="75" t="str">
        <f>IF('Engagement Log'!N105="","",'Engagement Log'!N105)</f>
        <v/>
      </c>
      <c r="G100" s="75" t="str">
        <f>IF('Engagement Log'!C105="","",'Engagement Log'!C105)</f>
        <v/>
      </c>
      <c r="H100" s="76" t="str">
        <f>IF('Engagement Log'!P105="","",'Engagement Log'!P105)</f>
        <v/>
      </c>
      <c r="I100" s="76" t="str">
        <f>IF('Engagement Log'!Q105="","",'Engagement Log'!Q105)</f>
        <v/>
      </c>
      <c r="J100" s="77" t="str">
        <f>IF('Engagement Log'!L105="","",'Engagement Log'!L105)</f>
        <v/>
      </c>
    </row>
    <row r="101" spans="1:10" x14ac:dyDescent="0.3">
      <c r="A101" s="68" t="str">
        <f>IF('Engagement Log'!O106="","",'Engagement Log'!O106)</f>
        <v/>
      </c>
      <c r="B101" s="69" t="str">
        <f ca="1">IF('Engagement Log'!O106="","",'Engagement Log'!O106-TODAY())</f>
        <v/>
      </c>
      <c r="C101" s="70" t="str">
        <f>IF('Engagement Log'!B106="","",'Engagement Log'!B106)</f>
        <v/>
      </c>
      <c r="D101" s="70" t="str">
        <f>IF('Engagement Log'!D106="","",'Engagement Log'!D106)</f>
        <v/>
      </c>
      <c r="E101" s="70" t="str">
        <f>IF('Engagement Log'!G106="","",'Engagement Log'!G106)</f>
        <v/>
      </c>
      <c r="F101" s="70" t="str">
        <f>IF('Engagement Log'!N106="","",'Engagement Log'!N106)</f>
        <v/>
      </c>
      <c r="G101" s="70" t="str">
        <f>IF('Engagement Log'!C106="","",'Engagement Log'!C106)</f>
        <v/>
      </c>
      <c r="H101" s="71" t="str">
        <f>IF('Engagement Log'!P106="","",'Engagement Log'!P106)</f>
        <v/>
      </c>
      <c r="I101" s="71" t="str">
        <f>IF('Engagement Log'!Q106="","",'Engagement Log'!Q106)</f>
        <v/>
      </c>
      <c r="J101" s="72" t="str">
        <f>IF('Engagement Log'!L106="","",'Engagement Log'!L106)</f>
        <v/>
      </c>
    </row>
    <row r="102" spans="1:10" x14ac:dyDescent="0.3">
      <c r="A102" s="73" t="str">
        <f>IF('Engagement Log'!O107="","",'Engagement Log'!O107)</f>
        <v/>
      </c>
      <c r="B102" s="74" t="str">
        <f ca="1">IF('Engagement Log'!O107="","",'Engagement Log'!O107-TODAY())</f>
        <v/>
      </c>
      <c r="C102" s="75" t="str">
        <f>IF('Engagement Log'!B107="","",'Engagement Log'!B107)</f>
        <v/>
      </c>
      <c r="D102" s="75" t="str">
        <f>IF('Engagement Log'!D107="","",'Engagement Log'!D107)</f>
        <v/>
      </c>
      <c r="E102" s="75" t="str">
        <f>IF('Engagement Log'!G107="","",'Engagement Log'!G107)</f>
        <v/>
      </c>
      <c r="F102" s="75" t="str">
        <f>IF('Engagement Log'!N107="","",'Engagement Log'!N107)</f>
        <v/>
      </c>
      <c r="G102" s="75" t="str">
        <f>IF('Engagement Log'!C107="","",'Engagement Log'!C107)</f>
        <v/>
      </c>
      <c r="H102" s="76" t="str">
        <f>IF('Engagement Log'!P107="","",'Engagement Log'!P107)</f>
        <v/>
      </c>
      <c r="I102" s="76" t="str">
        <f>IF('Engagement Log'!Q107="","",'Engagement Log'!Q107)</f>
        <v/>
      </c>
      <c r="J102" s="77" t="str">
        <f>IF('Engagement Log'!L107="","",'Engagement Log'!L107)</f>
        <v/>
      </c>
    </row>
    <row r="103" spans="1:10" x14ac:dyDescent="0.3">
      <c r="A103" s="68" t="str">
        <f>IF('Engagement Log'!O108="","",'Engagement Log'!O108)</f>
        <v/>
      </c>
      <c r="B103" s="69" t="str">
        <f ca="1">IF('Engagement Log'!O108="","",'Engagement Log'!O108-TODAY())</f>
        <v/>
      </c>
      <c r="C103" s="70" t="str">
        <f>IF('Engagement Log'!B108="","",'Engagement Log'!B108)</f>
        <v/>
      </c>
      <c r="D103" s="70" t="str">
        <f>IF('Engagement Log'!D108="","",'Engagement Log'!D108)</f>
        <v/>
      </c>
      <c r="E103" s="70" t="str">
        <f>IF('Engagement Log'!G108="","",'Engagement Log'!G108)</f>
        <v/>
      </c>
      <c r="F103" s="70" t="str">
        <f>IF('Engagement Log'!N108="","",'Engagement Log'!N108)</f>
        <v/>
      </c>
      <c r="G103" s="70" t="str">
        <f>IF('Engagement Log'!C108="","",'Engagement Log'!C108)</f>
        <v/>
      </c>
      <c r="H103" s="71" t="str">
        <f>IF('Engagement Log'!P108="","",'Engagement Log'!P108)</f>
        <v/>
      </c>
      <c r="I103" s="71" t="str">
        <f>IF('Engagement Log'!Q108="","",'Engagement Log'!Q108)</f>
        <v/>
      </c>
      <c r="J103" s="72" t="str">
        <f>IF('Engagement Log'!L108="","",'Engagement Log'!L108)</f>
        <v/>
      </c>
    </row>
    <row r="104" spans="1:10" x14ac:dyDescent="0.3">
      <c r="A104" s="73" t="str">
        <f>IF('Engagement Log'!O109="","",'Engagement Log'!O109)</f>
        <v/>
      </c>
      <c r="B104" s="74" t="str">
        <f ca="1">IF('Engagement Log'!O109="","",'Engagement Log'!O109-TODAY())</f>
        <v/>
      </c>
      <c r="C104" s="75" t="str">
        <f>IF('Engagement Log'!B109="","",'Engagement Log'!B109)</f>
        <v/>
      </c>
      <c r="D104" s="75" t="str">
        <f>IF('Engagement Log'!D109="","",'Engagement Log'!D109)</f>
        <v/>
      </c>
      <c r="E104" s="75" t="str">
        <f>IF('Engagement Log'!G109="","",'Engagement Log'!G109)</f>
        <v/>
      </c>
      <c r="F104" s="75" t="str">
        <f>IF('Engagement Log'!N109="","",'Engagement Log'!N109)</f>
        <v/>
      </c>
      <c r="G104" s="75" t="str">
        <f>IF('Engagement Log'!C109="","",'Engagement Log'!C109)</f>
        <v/>
      </c>
      <c r="H104" s="76" t="str">
        <f>IF('Engagement Log'!P109="","",'Engagement Log'!P109)</f>
        <v/>
      </c>
      <c r="I104" s="76" t="str">
        <f>IF('Engagement Log'!Q109="","",'Engagement Log'!Q109)</f>
        <v/>
      </c>
      <c r="J104" s="77" t="str">
        <f>IF('Engagement Log'!L109="","",'Engagement Log'!L109)</f>
        <v/>
      </c>
    </row>
    <row r="105" spans="1:10" x14ac:dyDescent="0.3">
      <c r="A105" s="68" t="str">
        <f>IF('Engagement Log'!O110="","",'Engagement Log'!O110)</f>
        <v/>
      </c>
      <c r="B105" s="69" t="str">
        <f ca="1">IF('Engagement Log'!O110="","",'Engagement Log'!O110-TODAY())</f>
        <v/>
      </c>
      <c r="C105" s="70" t="str">
        <f>IF('Engagement Log'!B110="","",'Engagement Log'!B110)</f>
        <v/>
      </c>
      <c r="D105" s="70" t="str">
        <f>IF('Engagement Log'!D110="","",'Engagement Log'!D110)</f>
        <v/>
      </c>
      <c r="E105" s="70" t="str">
        <f>IF('Engagement Log'!G110="","",'Engagement Log'!G110)</f>
        <v/>
      </c>
      <c r="F105" s="70" t="str">
        <f>IF('Engagement Log'!N110="","",'Engagement Log'!N110)</f>
        <v/>
      </c>
      <c r="G105" s="70" t="str">
        <f>IF('Engagement Log'!C110="","",'Engagement Log'!C110)</f>
        <v/>
      </c>
      <c r="H105" s="71" t="str">
        <f>IF('Engagement Log'!P110="","",'Engagement Log'!P110)</f>
        <v/>
      </c>
      <c r="I105" s="71" t="str">
        <f>IF('Engagement Log'!Q110="","",'Engagement Log'!Q110)</f>
        <v/>
      </c>
      <c r="J105" s="72" t="str">
        <f>IF('Engagement Log'!L110="","",'Engagement Log'!L110)</f>
        <v/>
      </c>
    </row>
    <row r="106" spans="1:10" x14ac:dyDescent="0.3">
      <c r="A106" s="73" t="str">
        <f>IF('Engagement Log'!O111="","",'Engagement Log'!O111)</f>
        <v/>
      </c>
      <c r="B106" s="74" t="str">
        <f ca="1">IF('Engagement Log'!O111="","",'Engagement Log'!O111-TODAY())</f>
        <v/>
      </c>
      <c r="C106" s="75" t="str">
        <f>IF('Engagement Log'!B111="","",'Engagement Log'!B111)</f>
        <v/>
      </c>
      <c r="D106" s="75" t="str">
        <f>IF('Engagement Log'!D111="","",'Engagement Log'!D111)</f>
        <v/>
      </c>
      <c r="E106" s="75" t="str">
        <f>IF('Engagement Log'!G111="","",'Engagement Log'!G111)</f>
        <v/>
      </c>
      <c r="F106" s="75" t="str">
        <f>IF('Engagement Log'!N111="","",'Engagement Log'!N111)</f>
        <v/>
      </c>
      <c r="G106" s="75" t="str">
        <f>IF('Engagement Log'!C111="","",'Engagement Log'!C111)</f>
        <v/>
      </c>
      <c r="H106" s="76" t="str">
        <f>IF('Engagement Log'!P111="","",'Engagement Log'!P111)</f>
        <v/>
      </c>
      <c r="I106" s="76" t="str">
        <f>IF('Engagement Log'!Q111="","",'Engagement Log'!Q111)</f>
        <v/>
      </c>
      <c r="J106" s="77" t="str">
        <f>IF('Engagement Log'!L111="","",'Engagement Log'!L111)</f>
        <v/>
      </c>
    </row>
    <row r="107" spans="1:10" x14ac:dyDescent="0.3">
      <c r="A107" s="68" t="str">
        <f>IF('Engagement Log'!O112="","",'Engagement Log'!O112)</f>
        <v/>
      </c>
      <c r="B107" s="69" t="str">
        <f ca="1">IF('Engagement Log'!O112="","",'Engagement Log'!O112-TODAY())</f>
        <v/>
      </c>
      <c r="C107" s="70" t="str">
        <f>IF('Engagement Log'!B112="","",'Engagement Log'!B112)</f>
        <v/>
      </c>
      <c r="D107" s="70" t="str">
        <f>IF('Engagement Log'!D112="","",'Engagement Log'!D112)</f>
        <v/>
      </c>
      <c r="E107" s="70" t="str">
        <f>IF('Engagement Log'!G112="","",'Engagement Log'!G112)</f>
        <v/>
      </c>
      <c r="F107" s="70" t="str">
        <f>IF('Engagement Log'!N112="","",'Engagement Log'!N112)</f>
        <v/>
      </c>
      <c r="G107" s="70" t="str">
        <f>IF('Engagement Log'!C112="","",'Engagement Log'!C112)</f>
        <v/>
      </c>
      <c r="H107" s="71" t="str">
        <f>IF('Engagement Log'!P112="","",'Engagement Log'!P112)</f>
        <v/>
      </c>
      <c r="I107" s="71" t="str">
        <f>IF('Engagement Log'!Q112="","",'Engagement Log'!Q112)</f>
        <v/>
      </c>
      <c r="J107" s="72" t="str">
        <f>IF('Engagement Log'!L112="","",'Engagement Log'!L112)</f>
        <v/>
      </c>
    </row>
    <row r="108" spans="1:10" x14ac:dyDescent="0.3">
      <c r="A108" s="73" t="str">
        <f>IF('Engagement Log'!O113="","",'Engagement Log'!O113)</f>
        <v/>
      </c>
      <c r="B108" s="74" t="str">
        <f ca="1">IF('Engagement Log'!O113="","",'Engagement Log'!O113-TODAY())</f>
        <v/>
      </c>
      <c r="C108" s="75" t="str">
        <f>IF('Engagement Log'!B113="","",'Engagement Log'!B113)</f>
        <v/>
      </c>
      <c r="D108" s="75" t="str">
        <f>IF('Engagement Log'!D113="","",'Engagement Log'!D113)</f>
        <v/>
      </c>
      <c r="E108" s="75" t="str">
        <f>IF('Engagement Log'!G113="","",'Engagement Log'!G113)</f>
        <v/>
      </c>
      <c r="F108" s="75" t="str">
        <f>IF('Engagement Log'!N113="","",'Engagement Log'!N113)</f>
        <v/>
      </c>
      <c r="G108" s="75" t="str">
        <f>IF('Engagement Log'!C113="","",'Engagement Log'!C113)</f>
        <v/>
      </c>
      <c r="H108" s="76" t="str">
        <f>IF('Engagement Log'!P113="","",'Engagement Log'!P113)</f>
        <v/>
      </c>
      <c r="I108" s="76" t="str">
        <f>IF('Engagement Log'!Q113="","",'Engagement Log'!Q113)</f>
        <v/>
      </c>
      <c r="J108" s="77" t="str">
        <f>IF('Engagement Log'!L113="","",'Engagement Log'!L113)</f>
        <v/>
      </c>
    </row>
    <row r="109" spans="1:10" x14ac:dyDescent="0.3">
      <c r="A109" s="68" t="str">
        <f>IF('Engagement Log'!O114="","",'Engagement Log'!O114)</f>
        <v/>
      </c>
      <c r="B109" s="69" t="str">
        <f ca="1">IF('Engagement Log'!O114="","",'Engagement Log'!O114-TODAY())</f>
        <v/>
      </c>
      <c r="C109" s="70" t="str">
        <f>IF('Engagement Log'!B114="","",'Engagement Log'!B114)</f>
        <v/>
      </c>
      <c r="D109" s="70" t="str">
        <f>IF('Engagement Log'!D114="","",'Engagement Log'!D114)</f>
        <v/>
      </c>
      <c r="E109" s="70" t="str">
        <f>IF('Engagement Log'!G114="","",'Engagement Log'!G114)</f>
        <v/>
      </c>
      <c r="F109" s="70" t="str">
        <f>IF('Engagement Log'!N114="","",'Engagement Log'!N114)</f>
        <v/>
      </c>
      <c r="G109" s="70" t="str">
        <f>IF('Engagement Log'!C114="","",'Engagement Log'!C114)</f>
        <v/>
      </c>
      <c r="H109" s="71" t="str">
        <f>IF('Engagement Log'!P114="","",'Engagement Log'!P114)</f>
        <v/>
      </c>
      <c r="I109" s="71" t="str">
        <f>IF('Engagement Log'!Q114="","",'Engagement Log'!Q114)</f>
        <v/>
      </c>
      <c r="J109" s="72" t="str">
        <f>IF('Engagement Log'!L114="","",'Engagement Log'!L114)</f>
        <v/>
      </c>
    </row>
    <row r="110" spans="1:10" x14ac:dyDescent="0.3">
      <c r="A110" s="73" t="str">
        <f>IF('Engagement Log'!O115="","",'Engagement Log'!O115)</f>
        <v/>
      </c>
      <c r="B110" s="74" t="str">
        <f ca="1">IF('Engagement Log'!O115="","",'Engagement Log'!O115-TODAY())</f>
        <v/>
      </c>
      <c r="C110" s="75" t="str">
        <f>IF('Engagement Log'!B115="","",'Engagement Log'!B115)</f>
        <v/>
      </c>
      <c r="D110" s="75" t="str">
        <f>IF('Engagement Log'!D115="","",'Engagement Log'!D115)</f>
        <v/>
      </c>
      <c r="E110" s="75" t="str">
        <f>IF('Engagement Log'!G115="","",'Engagement Log'!G115)</f>
        <v/>
      </c>
      <c r="F110" s="75" t="str">
        <f>IF('Engagement Log'!N115="","",'Engagement Log'!N115)</f>
        <v/>
      </c>
      <c r="G110" s="75" t="str">
        <f>IF('Engagement Log'!C115="","",'Engagement Log'!C115)</f>
        <v/>
      </c>
      <c r="H110" s="76" t="str">
        <f>IF('Engagement Log'!P115="","",'Engagement Log'!P115)</f>
        <v/>
      </c>
      <c r="I110" s="76" t="str">
        <f>IF('Engagement Log'!Q115="","",'Engagement Log'!Q115)</f>
        <v/>
      </c>
      <c r="J110" s="77" t="str">
        <f>IF('Engagement Log'!L115="","",'Engagement Log'!L115)</f>
        <v/>
      </c>
    </row>
    <row r="111" spans="1:10" x14ac:dyDescent="0.3">
      <c r="A111" s="68" t="str">
        <f>IF('Engagement Log'!O116="","",'Engagement Log'!O116)</f>
        <v/>
      </c>
      <c r="B111" s="69" t="str">
        <f ca="1">IF('Engagement Log'!O116="","",'Engagement Log'!O116-TODAY())</f>
        <v/>
      </c>
      <c r="C111" s="70" t="str">
        <f>IF('Engagement Log'!B116="","",'Engagement Log'!B116)</f>
        <v/>
      </c>
      <c r="D111" s="70" t="str">
        <f>IF('Engagement Log'!D116="","",'Engagement Log'!D116)</f>
        <v/>
      </c>
      <c r="E111" s="70" t="str">
        <f>IF('Engagement Log'!G116="","",'Engagement Log'!G116)</f>
        <v/>
      </c>
      <c r="F111" s="70" t="str">
        <f>IF('Engagement Log'!N116="","",'Engagement Log'!N116)</f>
        <v/>
      </c>
      <c r="G111" s="70" t="str">
        <f>IF('Engagement Log'!C116="","",'Engagement Log'!C116)</f>
        <v/>
      </c>
      <c r="H111" s="71" t="str">
        <f>IF('Engagement Log'!P116="","",'Engagement Log'!P116)</f>
        <v/>
      </c>
      <c r="I111" s="71" t="str">
        <f>IF('Engagement Log'!Q116="","",'Engagement Log'!Q116)</f>
        <v/>
      </c>
      <c r="J111" s="72" t="str">
        <f>IF('Engagement Log'!L116="","",'Engagement Log'!L116)</f>
        <v/>
      </c>
    </row>
    <row r="112" spans="1:10" x14ac:dyDescent="0.3">
      <c r="A112" s="73" t="str">
        <f>IF('Engagement Log'!O117="","",'Engagement Log'!O117)</f>
        <v/>
      </c>
      <c r="B112" s="74" t="str">
        <f ca="1">IF('Engagement Log'!O117="","",'Engagement Log'!O117-TODAY())</f>
        <v/>
      </c>
      <c r="C112" s="75" t="str">
        <f>IF('Engagement Log'!B117="","",'Engagement Log'!B117)</f>
        <v/>
      </c>
      <c r="D112" s="75" t="str">
        <f>IF('Engagement Log'!D117="","",'Engagement Log'!D117)</f>
        <v/>
      </c>
      <c r="E112" s="75" t="str">
        <f>IF('Engagement Log'!G117="","",'Engagement Log'!G117)</f>
        <v/>
      </c>
      <c r="F112" s="75" t="str">
        <f>IF('Engagement Log'!N117="","",'Engagement Log'!N117)</f>
        <v/>
      </c>
      <c r="G112" s="75" t="str">
        <f>IF('Engagement Log'!C117="","",'Engagement Log'!C117)</f>
        <v/>
      </c>
      <c r="H112" s="76" t="str">
        <f>IF('Engagement Log'!P117="","",'Engagement Log'!P117)</f>
        <v/>
      </c>
      <c r="I112" s="76" t="str">
        <f>IF('Engagement Log'!Q117="","",'Engagement Log'!Q117)</f>
        <v/>
      </c>
      <c r="J112" s="77" t="str">
        <f>IF('Engagement Log'!L117="","",'Engagement Log'!L117)</f>
        <v/>
      </c>
    </row>
    <row r="113" spans="1:10" x14ac:dyDescent="0.3">
      <c r="A113" s="68" t="str">
        <f>IF('Engagement Log'!O118="","",'Engagement Log'!O118)</f>
        <v/>
      </c>
      <c r="B113" s="69" t="str">
        <f ca="1">IF('Engagement Log'!O118="","",'Engagement Log'!O118-TODAY())</f>
        <v/>
      </c>
      <c r="C113" s="70" t="str">
        <f>IF('Engagement Log'!B118="","",'Engagement Log'!B118)</f>
        <v/>
      </c>
      <c r="D113" s="70" t="str">
        <f>IF('Engagement Log'!D118="","",'Engagement Log'!D118)</f>
        <v/>
      </c>
      <c r="E113" s="70" t="str">
        <f>IF('Engagement Log'!G118="","",'Engagement Log'!G118)</f>
        <v/>
      </c>
      <c r="F113" s="70" t="str">
        <f>IF('Engagement Log'!N118="","",'Engagement Log'!N118)</f>
        <v/>
      </c>
      <c r="G113" s="70" t="str">
        <f>IF('Engagement Log'!C118="","",'Engagement Log'!C118)</f>
        <v/>
      </c>
      <c r="H113" s="71" t="str">
        <f>IF('Engagement Log'!P118="","",'Engagement Log'!P118)</f>
        <v/>
      </c>
      <c r="I113" s="71" t="str">
        <f>IF('Engagement Log'!Q118="","",'Engagement Log'!Q118)</f>
        <v/>
      </c>
      <c r="J113" s="72" t="str">
        <f>IF('Engagement Log'!L118="","",'Engagement Log'!L118)</f>
        <v/>
      </c>
    </row>
    <row r="114" spans="1:10" x14ac:dyDescent="0.3">
      <c r="A114" s="73" t="str">
        <f>IF('Engagement Log'!O119="","",'Engagement Log'!O119)</f>
        <v/>
      </c>
      <c r="B114" s="74" t="str">
        <f ca="1">IF('Engagement Log'!O119="","",'Engagement Log'!O119-TODAY())</f>
        <v/>
      </c>
      <c r="C114" s="75" t="str">
        <f>IF('Engagement Log'!B119="","",'Engagement Log'!B119)</f>
        <v/>
      </c>
      <c r="D114" s="75" t="str">
        <f>IF('Engagement Log'!D119="","",'Engagement Log'!D119)</f>
        <v/>
      </c>
      <c r="E114" s="75" t="str">
        <f>IF('Engagement Log'!G119="","",'Engagement Log'!G119)</f>
        <v/>
      </c>
      <c r="F114" s="75" t="str">
        <f>IF('Engagement Log'!N119="","",'Engagement Log'!N119)</f>
        <v/>
      </c>
      <c r="G114" s="75" t="str">
        <f>IF('Engagement Log'!C119="","",'Engagement Log'!C119)</f>
        <v/>
      </c>
      <c r="H114" s="76" t="str">
        <f>IF('Engagement Log'!P119="","",'Engagement Log'!P119)</f>
        <v/>
      </c>
      <c r="I114" s="76" t="str">
        <f>IF('Engagement Log'!Q119="","",'Engagement Log'!Q119)</f>
        <v/>
      </c>
      <c r="J114" s="77" t="str">
        <f>IF('Engagement Log'!L119="","",'Engagement Log'!L119)</f>
        <v/>
      </c>
    </row>
    <row r="115" spans="1:10" x14ac:dyDescent="0.3">
      <c r="A115" s="68" t="str">
        <f>IF('Engagement Log'!O120="","",'Engagement Log'!O120)</f>
        <v/>
      </c>
      <c r="B115" s="69" t="str">
        <f ca="1">IF('Engagement Log'!O120="","",'Engagement Log'!O120-TODAY())</f>
        <v/>
      </c>
      <c r="C115" s="70" t="str">
        <f>IF('Engagement Log'!B120="","",'Engagement Log'!B120)</f>
        <v/>
      </c>
      <c r="D115" s="70" t="str">
        <f>IF('Engagement Log'!D120="","",'Engagement Log'!D120)</f>
        <v/>
      </c>
      <c r="E115" s="70" t="str">
        <f>IF('Engagement Log'!G120="","",'Engagement Log'!G120)</f>
        <v/>
      </c>
      <c r="F115" s="70" t="str">
        <f>IF('Engagement Log'!N120="","",'Engagement Log'!N120)</f>
        <v/>
      </c>
      <c r="G115" s="70" t="str">
        <f>IF('Engagement Log'!C120="","",'Engagement Log'!C120)</f>
        <v/>
      </c>
      <c r="H115" s="71" t="str">
        <f>IF('Engagement Log'!P120="","",'Engagement Log'!P120)</f>
        <v/>
      </c>
      <c r="I115" s="71" t="str">
        <f>IF('Engagement Log'!Q120="","",'Engagement Log'!Q120)</f>
        <v/>
      </c>
      <c r="J115" s="72" t="str">
        <f>IF('Engagement Log'!L120="","",'Engagement Log'!L120)</f>
        <v/>
      </c>
    </row>
    <row r="116" spans="1:10" x14ac:dyDescent="0.3">
      <c r="A116" s="73" t="str">
        <f>IF('Engagement Log'!O121="","",'Engagement Log'!O121)</f>
        <v/>
      </c>
      <c r="B116" s="74" t="str">
        <f ca="1">IF('Engagement Log'!O121="","",'Engagement Log'!O121-TODAY())</f>
        <v/>
      </c>
      <c r="C116" s="75" t="str">
        <f>IF('Engagement Log'!B121="","",'Engagement Log'!B121)</f>
        <v/>
      </c>
      <c r="D116" s="75" t="str">
        <f>IF('Engagement Log'!D121="","",'Engagement Log'!D121)</f>
        <v/>
      </c>
      <c r="E116" s="75" t="str">
        <f>IF('Engagement Log'!G121="","",'Engagement Log'!G121)</f>
        <v/>
      </c>
      <c r="F116" s="75" t="str">
        <f>IF('Engagement Log'!N121="","",'Engagement Log'!N121)</f>
        <v/>
      </c>
      <c r="G116" s="75" t="str">
        <f>IF('Engagement Log'!C121="","",'Engagement Log'!C121)</f>
        <v/>
      </c>
      <c r="H116" s="76" t="str">
        <f>IF('Engagement Log'!P121="","",'Engagement Log'!P121)</f>
        <v/>
      </c>
      <c r="I116" s="76" t="str">
        <f>IF('Engagement Log'!Q121="","",'Engagement Log'!Q121)</f>
        <v/>
      </c>
      <c r="J116" s="77" t="str">
        <f>IF('Engagement Log'!L121="","",'Engagement Log'!L121)</f>
        <v/>
      </c>
    </row>
    <row r="117" spans="1:10" x14ac:dyDescent="0.3">
      <c r="A117" s="68" t="str">
        <f>IF('Engagement Log'!O122="","",'Engagement Log'!O122)</f>
        <v/>
      </c>
      <c r="B117" s="69" t="str">
        <f ca="1">IF('Engagement Log'!O122="","",'Engagement Log'!O122-TODAY())</f>
        <v/>
      </c>
      <c r="C117" s="70" t="str">
        <f>IF('Engagement Log'!B122="","",'Engagement Log'!B122)</f>
        <v/>
      </c>
      <c r="D117" s="70" t="str">
        <f>IF('Engagement Log'!D122="","",'Engagement Log'!D122)</f>
        <v/>
      </c>
      <c r="E117" s="70" t="str">
        <f>IF('Engagement Log'!G122="","",'Engagement Log'!G122)</f>
        <v/>
      </c>
      <c r="F117" s="70" t="str">
        <f>IF('Engagement Log'!N122="","",'Engagement Log'!N122)</f>
        <v/>
      </c>
      <c r="G117" s="70" t="str">
        <f>IF('Engagement Log'!C122="","",'Engagement Log'!C122)</f>
        <v/>
      </c>
      <c r="H117" s="71" t="str">
        <f>IF('Engagement Log'!P122="","",'Engagement Log'!P122)</f>
        <v/>
      </c>
      <c r="I117" s="71" t="str">
        <f>IF('Engagement Log'!Q122="","",'Engagement Log'!Q122)</f>
        <v/>
      </c>
      <c r="J117" s="72" t="str">
        <f>IF('Engagement Log'!L122="","",'Engagement Log'!L122)</f>
        <v/>
      </c>
    </row>
    <row r="118" spans="1:10" x14ac:dyDescent="0.3">
      <c r="A118" s="73" t="str">
        <f>IF('Engagement Log'!O123="","",'Engagement Log'!O123)</f>
        <v/>
      </c>
      <c r="B118" s="74" t="str">
        <f ca="1">IF('Engagement Log'!O123="","",'Engagement Log'!O123-TODAY())</f>
        <v/>
      </c>
      <c r="C118" s="75" t="str">
        <f>IF('Engagement Log'!B123="","",'Engagement Log'!B123)</f>
        <v/>
      </c>
      <c r="D118" s="75" t="str">
        <f>IF('Engagement Log'!D123="","",'Engagement Log'!D123)</f>
        <v/>
      </c>
      <c r="E118" s="75" t="str">
        <f>IF('Engagement Log'!G123="","",'Engagement Log'!G123)</f>
        <v/>
      </c>
      <c r="F118" s="75" t="str">
        <f>IF('Engagement Log'!N123="","",'Engagement Log'!N123)</f>
        <v/>
      </c>
      <c r="G118" s="75" t="str">
        <f>IF('Engagement Log'!C123="","",'Engagement Log'!C123)</f>
        <v/>
      </c>
      <c r="H118" s="76" t="str">
        <f>IF('Engagement Log'!P123="","",'Engagement Log'!P123)</f>
        <v/>
      </c>
      <c r="I118" s="76" t="str">
        <f>IF('Engagement Log'!Q123="","",'Engagement Log'!Q123)</f>
        <v/>
      </c>
      <c r="J118" s="77" t="str">
        <f>IF('Engagement Log'!L123="","",'Engagement Log'!L123)</f>
        <v/>
      </c>
    </row>
    <row r="119" spans="1:10" x14ac:dyDescent="0.3">
      <c r="A119" s="68" t="str">
        <f>IF('Engagement Log'!O124="","",'Engagement Log'!O124)</f>
        <v/>
      </c>
      <c r="B119" s="69" t="str">
        <f ca="1">IF('Engagement Log'!O124="","",'Engagement Log'!O124-TODAY())</f>
        <v/>
      </c>
      <c r="C119" s="70" t="str">
        <f>IF('Engagement Log'!B124="","",'Engagement Log'!B124)</f>
        <v/>
      </c>
      <c r="D119" s="70" t="str">
        <f>IF('Engagement Log'!D124="","",'Engagement Log'!D124)</f>
        <v/>
      </c>
      <c r="E119" s="70" t="str">
        <f>IF('Engagement Log'!G124="","",'Engagement Log'!G124)</f>
        <v/>
      </c>
      <c r="F119" s="70" t="str">
        <f>IF('Engagement Log'!N124="","",'Engagement Log'!N124)</f>
        <v/>
      </c>
      <c r="G119" s="70" t="str">
        <f>IF('Engagement Log'!C124="","",'Engagement Log'!C124)</f>
        <v/>
      </c>
      <c r="H119" s="71" t="str">
        <f>IF('Engagement Log'!P124="","",'Engagement Log'!P124)</f>
        <v/>
      </c>
      <c r="I119" s="71" t="str">
        <f>IF('Engagement Log'!Q124="","",'Engagement Log'!Q124)</f>
        <v/>
      </c>
      <c r="J119" s="72" t="str">
        <f>IF('Engagement Log'!L124="","",'Engagement Log'!L124)</f>
        <v/>
      </c>
    </row>
    <row r="120" spans="1:10" x14ac:dyDescent="0.3">
      <c r="A120" s="73" t="str">
        <f>IF('Engagement Log'!O125="","",'Engagement Log'!O125)</f>
        <v/>
      </c>
      <c r="B120" s="74" t="str">
        <f ca="1">IF('Engagement Log'!O125="","",'Engagement Log'!O125-TODAY())</f>
        <v/>
      </c>
      <c r="C120" s="75" t="str">
        <f>IF('Engagement Log'!B125="","",'Engagement Log'!B125)</f>
        <v/>
      </c>
      <c r="D120" s="75" t="str">
        <f>IF('Engagement Log'!D125="","",'Engagement Log'!D125)</f>
        <v/>
      </c>
      <c r="E120" s="75" t="str">
        <f>IF('Engagement Log'!G125="","",'Engagement Log'!G125)</f>
        <v/>
      </c>
      <c r="F120" s="75" t="str">
        <f>IF('Engagement Log'!N125="","",'Engagement Log'!N125)</f>
        <v/>
      </c>
      <c r="G120" s="75" t="str">
        <f>IF('Engagement Log'!C125="","",'Engagement Log'!C125)</f>
        <v/>
      </c>
      <c r="H120" s="76" t="str">
        <f>IF('Engagement Log'!P125="","",'Engagement Log'!P125)</f>
        <v/>
      </c>
      <c r="I120" s="76" t="str">
        <f>IF('Engagement Log'!Q125="","",'Engagement Log'!Q125)</f>
        <v/>
      </c>
      <c r="J120" s="77" t="str">
        <f>IF('Engagement Log'!L125="","",'Engagement Log'!L125)</f>
        <v/>
      </c>
    </row>
    <row r="121" spans="1:10" x14ac:dyDescent="0.3">
      <c r="A121" s="68" t="str">
        <f>IF('Engagement Log'!O126="","",'Engagement Log'!O126)</f>
        <v/>
      </c>
      <c r="B121" s="69" t="str">
        <f ca="1">IF('Engagement Log'!O126="","",'Engagement Log'!O126-TODAY())</f>
        <v/>
      </c>
      <c r="C121" s="70" t="str">
        <f>IF('Engagement Log'!B126="","",'Engagement Log'!B126)</f>
        <v/>
      </c>
      <c r="D121" s="70" t="str">
        <f>IF('Engagement Log'!D126="","",'Engagement Log'!D126)</f>
        <v/>
      </c>
      <c r="E121" s="70" t="str">
        <f>IF('Engagement Log'!G126="","",'Engagement Log'!G126)</f>
        <v/>
      </c>
      <c r="F121" s="70" t="str">
        <f>IF('Engagement Log'!N126="","",'Engagement Log'!N126)</f>
        <v/>
      </c>
      <c r="G121" s="70" t="str">
        <f>IF('Engagement Log'!C126="","",'Engagement Log'!C126)</f>
        <v/>
      </c>
      <c r="H121" s="71" t="str">
        <f>IF('Engagement Log'!P126="","",'Engagement Log'!P126)</f>
        <v/>
      </c>
      <c r="I121" s="71" t="str">
        <f>IF('Engagement Log'!Q126="","",'Engagement Log'!Q126)</f>
        <v/>
      </c>
      <c r="J121" s="72" t="str">
        <f>IF('Engagement Log'!L126="","",'Engagement Log'!L126)</f>
        <v/>
      </c>
    </row>
    <row r="122" spans="1:10" x14ac:dyDescent="0.3">
      <c r="A122" s="73" t="str">
        <f>IF('Engagement Log'!O127="","",'Engagement Log'!O127)</f>
        <v/>
      </c>
      <c r="B122" s="74" t="str">
        <f ca="1">IF('Engagement Log'!O127="","",'Engagement Log'!O127-TODAY())</f>
        <v/>
      </c>
      <c r="C122" s="75" t="str">
        <f>IF('Engagement Log'!B127="","",'Engagement Log'!B127)</f>
        <v/>
      </c>
      <c r="D122" s="75" t="str">
        <f>IF('Engagement Log'!D127="","",'Engagement Log'!D127)</f>
        <v/>
      </c>
      <c r="E122" s="75" t="str">
        <f>IF('Engagement Log'!G127="","",'Engagement Log'!G127)</f>
        <v/>
      </c>
      <c r="F122" s="75" t="str">
        <f>IF('Engagement Log'!N127="","",'Engagement Log'!N127)</f>
        <v/>
      </c>
      <c r="G122" s="75" t="str">
        <f>IF('Engagement Log'!C127="","",'Engagement Log'!C127)</f>
        <v/>
      </c>
      <c r="H122" s="76" t="str">
        <f>IF('Engagement Log'!P127="","",'Engagement Log'!P127)</f>
        <v/>
      </c>
      <c r="I122" s="76" t="str">
        <f>IF('Engagement Log'!Q127="","",'Engagement Log'!Q127)</f>
        <v/>
      </c>
      <c r="J122" s="77" t="str">
        <f>IF('Engagement Log'!L127="","",'Engagement Log'!L127)</f>
        <v/>
      </c>
    </row>
    <row r="123" spans="1:10" x14ac:dyDescent="0.3">
      <c r="A123" s="68" t="str">
        <f>IF('Engagement Log'!O128="","",'Engagement Log'!O128)</f>
        <v/>
      </c>
      <c r="B123" s="69" t="str">
        <f ca="1">IF('Engagement Log'!O128="","",'Engagement Log'!O128-TODAY())</f>
        <v/>
      </c>
      <c r="C123" s="70" t="str">
        <f>IF('Engagement Log'!B128="","",'Engagement Log'!B128)</f>
        <v/>
      </c>
      <c r="D123" s="70" t="str">
        <f>IF('Engagement Log'!D128="","",'Engagement Log'!D128)</f>
        <v/>
      </c>
      <c r="E123" s="70" t="str">
        <f>IF('Engagement Log'!G128="","",'Engagement Log'!G128)</f>
        <v/>
      </c>
      <c r="F123" s="70" t="str">
        <f>IF('Engagement Log'!N128="","",'Engagement Log'!N128)</f>
        <v/>
      </c>
      <c r="G123" s="70" t="str">
        <f>IF('Engagement Log'!C128="","",'Engagement Log'!C128)</f>
        <v/>
      </c>
      <c r="H123" s="71" t="str">
        <f>IF('Engagement Log'!P128="","",'Engagement Log'!P128)</f>
        <v/>
      </c>
      <c r="I123" s="71" t="str">
        <f>IF('Engagement Log'!Q128="","",'Engagement Log'!Q128)</f>
        <v/>
      </c>
      <c r="J123" s="72" t="str">
        <f>IF('Engagement Log'!L128="","",'Engagement Log'!L128)</f>
        <v/>
      </c>
    </row>
    <row r="124" spans="1:10" x14ac:dyDescent="0.3">
      <c r="A124" s="73" t="str">
        <f>IF('Engagement Log'!O129="","",'Engagement Log'!O129)</f>
        <v/>
      </c>
      <c r="B124" s="74" t="str">
        <f ca="1">IF('Engagement Log'!O129="","",'Engagement Log'!O129-TODAY())</f>
        <v/>
      </c>
      <c r="C124" s="75" t="str">
        <f>IF('Engagement Log'!B129="","",'Engagement Log'!B129)</f>
        <v/>
      </c>
      <c r="D124" s="75" t="str">
        <f>IF('Engagement Log'!D129="","",'Engagement Log'!D129)</f>
        <v/>
      </c>
      <c r="E124" s="75" t="str">
        <f>IF('Engagement Log'!G129="","",'Engagement Log'!G129)</f>
        <v/>
      </c>
      <c r="F124" s="75" t="str">
        <f>IF('Engagement Log'!N129="","",'Engagement Log'!N129)</f>
        <v/>
      </c>
      <c r="G124" s="75" t="str">
        <f>IF('Engagement Log'!C129="","",'Engagement Log'!C129)</f>
        <v/>
      </c>
      <c r="H124" s="76" t="str">
        <f>IF('Engagement Log'!P129="","",'Engagement Log'!P129)</f>
        <v/>
      </c>
      <c r="I124" s="76" t="str">
        <f>IF('Engagement Log'!Q129="","",'Engagement Log'!Q129)</f>
        <v/>
      </c>
      <c r="J124" s="77" t="str">
        <f>IF('Engagement Log'!L129="","",'Engagement Log'!L129)</f>
        <v/>
      </c>
    </row>
    <row r="125" spans="1:10" x14ac:dyDescent="0.3">
      <c r="A125" s="68" t="str">
        <f>IF('Engagement Log'!O130="","",'Engagement Log'!O130)</f>
        <v/>
      </c>
      <c r="B125" s="69" t="str">
        <f ca="1">IF('Engagement Log'!O130="","",'Engagement Log'!O130-TODAY())</f>
        <v/>
      </c>
      <c r="C125" s="70" t="str">
        <f>IF('Engagement Log'!B130="","",'Engagement Log'!B130)</f>
        <v/>
      </c>
      <c r="D125" s="70" t="str">
        <f>IF('Engagement Log'!D130="","",'Engagement Log'!D130)</f>
        <v/>
      </c>
      <c r="E125" s="70" t="str">
        <f>IF('Engagement Log'!G130="","",'Engagement Log'!G130)</f>
        <v/>
      </c>
      <c r="F125" s="70" t="str">
        <f>IF('Engagement Log'!N130="","",'Engagement Log'!N130)</f>
        <v/>
      </c>
      <c r="G125" s="70" t="str">
        <f>IF('Engagement Log'!C130="","",'Engagement Log'!C130)</f>
        <v/>
      </c>
      <c r="H125" s="71" t="str">
        <f>IF('Engagement Log'!P130="","",'Engagement Log'!P130)</f>
        <v/>
      </c>
      <c r="I125" s="71" t="str">
        <f>IF('Engagement Log'!Q130="","",'Engagement Log'!Q130)</f>
        <v/>
      </c>
      <c r="J125" s="72" t="str">
        <f>IF('Engagement Log'!L130="","",'Engagement Log'!L130)</f>
        <v/>
      </c>
    </row>
    <row r="126" spans="1:10" x14ac:dyDescent="0.3">
      <c r="A126" s="73" t="str">
        <f>IF('Engagement Log'!O131="","",'Engagement Log'!O131)</f>
        <v/>
      </c>
      <c r="B126" s="74" t="str">
        <f ca="1">IF('Engagement Log'!O131="","",'Engagement Log'!O131-TODAY())</f>
        <v/>
      </c>
      <c r="C126" s="75" t="str">
        <f>IF('Engagement Log'!B131="","",'Engagement Log'!B131)</f>
        <v/>
      </c>
      <c r="D126" s="75" t="str">
        <f>IF('Engagement Log'!D131="","",'Engagement Log'!D131)</f>
        <v/>
      </c>
      <c r="E126" s="75" t="str">
        <f>IF('Engagement Log'!G131="","",'Engagement Log'!G131)</f>
        <v/>
      </c>
      <c r="F126" s="75" t="str">
        <f>IF('Engagement Log'!N131="","",'Engagement Log'!N131)</f>
        <v/>
      </c>
      <c r="G126" s="75" t="str">
        <f>IF('Engagement Log'!C131="","",'Engagement Log'!C131)</f>
        <v/>
      </c>
      <c r="H126" s="76" t="str">
        <f>IF('Engagement Log'!P131="","",'Engagement Log'!P131)</f>
        <v/>
      </c>
      <c r="I126" s="76" t="str">
        <f>IF('Engagement Log'!Q131="","",'Engagement Log'!Q131)</f>
        <v/>
      </c>
      <c r="J126" s="77" t="str">
        <f>IF('Engagement Log'!L131="","",'Engagement Log'!L131)</f>
        <v/>
      </c>
    </row>
    <row r="127" spans="1:10" x14ac:dyDescent="0.3">
      <c r="A127" s="68" t="str">
        <f>IF('Engagement Log'!O132="","",'Engagement Log'!O132)</f>
        <v/>
      </c>
      <c r="B127" s="69" t="str">
        <f ca="1">IF('Engagement Log'!O132="","",'Engagement Log'!O132-TODAY())</f>
        <v/>
      </c>
      <c r="C127" s="70" t="str">
        <f>IF('Engagement Log'!B132="","",'Engagement Log'!B132)</f>
        <v/>
      </c>
      <c r="D127" s="70" t="str">
        <f>IF('Engagement Log'!D132="","",'Engagement Log'!D132)</f>
        <v/>
      </c>
      <c r="E127" s="70" t="str">
        <f>IF('Engagement Log'!G132="","",'Engagement Log'!G132)</f>
        <v/>
      </c>
      <c r="F127" s="70" t="str">
        <f>IF('Engagement Log'!N132="","",'Engagement Log'!N132)</f>
        <v/>
      </c>
      <c r="G127" s="70" t="str">
        <f>IF('Engagement Log'!C132="","",'Engagement Log'!C132)</f>
        <v/>
      </c>
      <c r="H127" s="71" t="str">
        <f>IF('Engagement Log'!P132="","",'Engagement Log'!P132)</f>
        <v/>
      </c>
      <c r="I127" s="71" t="str">
        <f>IF('Engagement Log'!Q132="","",'Engagement Log'!Q132)</f>
        <v/>
      </c>
      <c r="J127" s="72" t="str">
        <f>IF('Engagement Log'!L132="","",'Engagement Log'!L132)</f>
        <v/>
      </c>
    </row>
    <row r="128" spans="1:10" x14ac:dyDescent="0.3">
      <c r="A128" s="73" t="str">
        <f>IF('Engagement Log'!O133="","",'Engagement Log'!O133)</f>
        <v/>
      </c>
      <c r="B128" s="74" t="str">
        <f ca="1">IF('Engagement Log'!O133="","",'Engagement Log'!O133-TODAY())</f>
        <v/>
      </c>
      <c r="C128" s="75" t="str">
        <f>IF('Engagement Log'!B133="","",'Engagement Log'!B133)</f>
        <v/>
      </c>
      <c r="D128" s="75" t="str">
        <f>IF('Engagement Log'!D133="","",'Engagement Log'!D133)</f>
        <v/>
      </c>
      <c r="E128" s="75" t="str">
        <f>IF('Engagement Log'!G133="","",'Engagement Log'!G133)</f>
        <v/>
      </c>
      <c r="F128" s="75" t="str">
        <f>IF('Engagement Log'!N133="","",'Engagement Log'!N133)</f>
        <v/>
      </c>
      <c r="G128" s="75" t="str">
        <f>IF('Engagement Log'!C133="","",'Engagement Log'!C133)</f>
        <v/>
      </c>
      <c r="H128" s="76" t="str">
        <f>IF('Engagement Log'!P133="","",'Engagement Log'!P133)</f>
        <v/>
      </c>
      <c r="I128" s="76" t="str">
        <f>IF('Engagement Log'!Q133="","",'Engagement Log'!Q133)</f>
        <v/>
      </c>
      <c r="J128" s="77" t="str">
        <f>IF('Engagement Log'!L133="","",'Engagement Log'!L133)</f>
        <v/>
      </c>
    </row>
    <row r="129" spans="1:10" x14ac:dyDescent="0.3">
      <c r="A129" s="68" t="str">
        <f>IF('Engagement Log'!O134="","",'Engagement Log'!O134)</f>
        <v/>
      </c>
      <c r="B129" s="69" t="str">
        <f ca="1">IF('Engagement Log'!O134="","",'Engagement Log'!O134-TODAY())</f>
        <v/>
      </c>
      <c r="C129" s="70" t="str">
        <f>IF('Engagement Log'!B134="","",'Engagement Log'!B134)</f>
        <v/>
      </c>
      <c r="D129" s="70" t="str">
        <f>IF('Engagement Log'!D134="","",'Engagement Log'!D134)</f>
        <v/>
      </c>
      <c r="E129" s="70" t="str">
        <f>IF('Engagement Log'!G134="","",'Engagement Log'!G134)</f>
        <v/>
      </c>
      <c r="F129" s="70" t="str">
        <f>IF('Engagement Log'!N134="","",'Engagement Log'!N134)</f>
        <v/>
      </c>
      <c r="G129" s="70" t="str">
        <f>IF('Engagement Log'!C134="","",'Engagement Log'!C134)</f>
        <v/>
      </c>
      <c r="H129" s="71" t="str">
        <f>IF('Engagement Log'!P134="","",'Engagement Log'!P134)</f>
        <v/>
      </c>
      <c r="I129" s="71" t="str">
        <f>IF('Engagement Log'!Q134="","",'Engagement Log'!Q134)</f>
        <v/>
      </c>
      <c r="J129" s="72" t="str">
        <f>IF('Engagement Log'!L134="","",'Engagement Log'!L134)</f>
        <v/>
      </c>
    </row>
    <row r="130" spans="1:10" x14ac:dyDescent="0.3">
      <c r="A130" s="73" t="str">
        <f>IF('Engagement Log'!O135="","",'Engagement Log'!O135)</f>
        <v/>
      </c>
      <c r="B130" s="74" t="str">
        <f ca="1">IF('Engagement Log'!O135="","",'Engagement Log'!O135-TODAY())</f>
        <v/>
      </c>
      <c r="C130" s="75" t="str">
        <f>IF('Engagement Log'!B135="","",'Engagement Log'!B135)</f>
        <v/>
      </c>
      <c r="D130" s="75" t="str">
        <f>IF('Engagement Log'!D135="","",'Engagement Log'!D135)</f>
        <v/>
      </c>
      <c r="E130" s="75" t="str">
        <f>IF('Engagement Log'!G135="","",'Engagement Log'!G135)</f>
        <v/>
      </c>
      <c r="F130" s="75" t="str">
        <f>IF('Engagement Log'!N135="","",'Engagement Log'!N135)</f>
        <v/>
      </c>
      <c r="G130" s="75" t="str">
        <f>IF('Engagement Log'!C135="","",'Engagement Log'!C135)</f>
        <v/>
      </c>
      <c r="H130" s="76" t="str">
        <f>IF('Engagement Log'!P135="","",'Engagement Log'!P135)</f>
        <v/>
      </c>
      <c r="I130" s="76" t="str">
        <f>IF('Engagement Log'!Q135="","",'Engagement Log'!Q135)</f>
        <v/>
      </c>
      <c r="J130" s="77" t="str">
        <f>IF('Engagement Log'!L135="","",'Engagement Log'!L135)</f>
        <v/>
      </c>
    </row>
    <row r="131" spans="1:10" x14ac:dyDescent="0.3">
      <c r="A131" s="68" t="str">
        <f>IF('Engagement Log'!O136="","",'Engagement Log'!O136)</f>
        <v/>
      </c>
      <c r="B131" s="69" t="str">
        <f ca="1">IF('Engagement Log'!O136="","",'Engagement Log'!O136-TODAY())</f>
        <v/>
      </c>
      <c r="C131" s="70" t="str">
        <f>IF('Engagement Log'!B136="","",'Engagement Log'!B136)</f>
        <v/>
      </c>
      <c r="D131" s="70" t="str">
        <f>IF('Engagement Log'!D136="","",'Engagement Log'!D136)</f>
        <v/>
      </c>
      <c r="E131" s="70" t="str">
        <f>IF('Engagement Log'!G136="","",'Engagement Log'!G136)</f>
        <v/>
      </c>
      <c r="F131" s="70" t="str">
        <f>IF('Engagement Log'!N136="","",'Engagement Log'!N136)</f>
        <v/>
      </c>
      <c r="G131" s="70" t="str">
        <f>IF('Engagement Log'!C136="","",'Engagement Log'!C136)</f>
        <v/>
      </c>
      <c r="H131" s="71" t="str">
        <f>IF('Engagement Log'!P136="","",'Engagement Log'!P136)</f>
        <v/>
      </c>
      <c r="I131" s="71" t="str">
        <f>IF('Engagement Log'!Q136="","",'Engagement Log'!Q136)</f>
        <v/>
      </c>
      <c r="J131" s="72" t="str">
        <f>IF('Engagement Log'!L136="","",'Engagement Log'!L136)</f>
        <v/>
      </c>
    </row>
    <row r="132" spans="1:10" x14ac:dyDescent="0.3">
      <c r="A132" s="73" t="str">
        <f>IF('Engagement Log'!O137="","",'Engagement Log'!O137)</f>
        <v/>
      </c>
      <c r="B132" s="74" t="str">
        <f ca="1">IF('Engagement Log'!O137="","",'Engagement Log'!O137-TODAY())</f>
        <v/>
      </c>
      <c r="C132" s="75" t="str">
        <f>IF('Engagement Log'!B137="","",'Engagement Log'!B137)</f>
        <v/>
      </c>
      <c r="D132" s="75" t="str">
        <f>IF('Engagement Log'!D137="","",'Engagement Log'!D137)</f>
        <v/>
      </c>
      <c r="E132" s="75" t="str">
        <f>IF('Engagement Log'!G137="","",'Engagement Log'!G137)</f>
        <v/>
      </c>
      <c r="F132" s="75" t="str">
        <f>IF('Engagement Log'!N137="","",'Engagement Log'!N137)</f>
        <v/>
      </c>
      <c r="G132" s="75" t="str">
        <f>IF('Engagement Log'!C137="","",'Engagement Log'!C137)</f>
        <v/>
      </c>
      <c r="H132" s="76" t="str">
        <f>IF('Engagement Log'!P137="","",'Engagement Log'!P137)</f>
        <v/>
      </c>
      <c r="I132" s="76" t="str">
        <f>IF('Engagement Log'!Q137="","",'Engagement Log'!Q137)</f>
        <v/>
      </c>
      <c r="J132" s="77" t="str">
        <f>IF('Engagement Log'!L137="","",'Engagement Log'!L137)</f>
        <v/>
      </c>
    </row>
    <row r="133" spans="1:10" x14ac:dyDescent="0.3">
      <c r="A133" s="68" t="str">
        <f>IF('Engagement Log'!O138="","",'Engagement Log'!O138)</f>
        <v/>
      </c>
      <c r="B133" s="69" t="str">
        <f ca="1">IF('Engagement Log'!O138="","",'Engagement Log'!O138-TODAY())</f>
        <v/>
      </c>
      <c r="C133" s="70" t="str">
        <f>IF('Engagement Log'!B138="","",'Engagement Log'!B138)</f>
        <v/>
      </c>
      <c r="D133" s="70" t="str">
        <f>IF('Engagement Log'!D138="","",'Engagement Log'!D138)</f>
        <v/>
      </c>
      <c r="E133" s="70" t="str">
        <f>IF('Engagement Log'!G138="","",'Engagement Log'!G138)</f>
        <v/>
      </c>
      <c r="F133" s="70" t="str">
        <f>IF('Engagement Log'!N138="","",'Engagement Log'!N138)</f>
        <v/>
      </c>
      <c r="G133" s="70" t="str">
        <f>IF('Engagement Log'!C138="","",'Engagement Log'!C138)</f>
        <v/>
      </c>
      <c r="H133" s="71" t="str">
        <f>IF('Engagement Log'!P138="","",'Engagement Log'!P138)</f>
        <v/>
      </c>
      <c r="I133" s="71" t="str">
        <f>IF('Engagement Log'!Q138="","",'Engagement Log'!Q138)</f>
        <v/>
      </c>
      <c r="J133" s="72" t="str">
        <f>IF('Engagement Log'!L138="","",'Engagement Log'!L138)</f>
        <v/>
      </c>
    </row>
    <row r="134" spans="1:10" x14ac:dyDescent="0.3">
      <c r="A134" s="73" t="str">
        <f>IF('Engagement Log'!O139="","",'Engagement Log'!O139)</f>
        <v/>
      </c>
      <c r="B134" s="74" t="str">
        <f ca="1">IF('Engagement Log'!O139="","",'Engagement Log'!O139-TODAY())</f>
        <v/>
      </c>
      <c r="C134" s="75" t="str">
        <f>IF('Engagement Log'!B139="","",'Engagement Log'!B139)</f>
        <v/>
      </c>
      <c r="D134" s="75" t="str">
        <f>IF('Engagement Log'!D139="","",'Engagement Log'!D139)</f>
        <v/>
      </c>
      <c r="E134" s="75" t="str">
        <f>IF('Engagement Log'!G139="","",'Engagement Log'!G139)</f>
        <v/>
      </c>
      <c r="F134" s="75" t="str">
        <f>IF('Engagement Log'!N139="","",'Engagement Log'!N139)</f>
        <v/>
      </c>
      <c r="G134" s="75" t="str">
        <f>IF('Engagement Log'!C139="","",'Engagement Log'!C139)</f>
        <v/>
      </c>
      <c r="H134" s="76" t="str">
        <f>IF('Engagement Log'!P139="","",'Engagement Log'!P139)</f>
        <v/>
      </c>
      <c r="I134" s="76" t="str">
        <f>IF('Engagement Log'!Q139="","",'Engagement Log'!Q139)</f>
        <v/>
      </c>
      <c r="J134" s="77" t="str">
        <f>IF('Engagement Log'!L139="","",'Engagement Log'!L139)</f>
        <v/>
      </c>
    </row>
    <row r="135" spans="1:10" x14ac:dyDescent="0.3">
      <c r="A135" s="68" t="str">
        <f>IF('Engagement Log'!O140="","",'Engagement Log'!O140)</f>
        <v/>
      </c>
      <c r="B135" s="69" t="str">
        <f ca="1">IF('Engagement Log'!O140="","",'Engagement Log'!O140-TODAY())</f>
        <v/>
      </c>
      <c r="C135" s="70" t="str">
        <f>IF('Engagement Log'!B140="","",'Engagement Log'!B140)</f>
        <v/>
      </c>
      <c r="D135" s="70" t="str">
        <f>IF('Engagement Log'!D140="","",'Engagement Log'!D140)</f>
        <v/>
      </c>
      <c r="E135" s="70" t="str">
        <f>IF('Engagement Log'!G140="","",'Engagement Log'!G140)</f>
        <v/>
      </c>
      <c r="F135" s="70" t="str">
        <f>IF('Engagement Log'!N140="","",'Engagement Log'!N140)</f>
        <v/>
      </c>
      <c r="G135" s="70" t="str">
        <f>IF('Engagement Log'!C140="","",'Engagement Log'!C140)</f>
        <v/>
      </c>
      <c r="H135" s="71" t="str">
        <f>IF('Engagement Log'!P140="","",'Engagement Log'!P140)</f>
        <v/>
      </c>
      <c r="I135" s="71" t="str">
        <f>IF('Engagement Log'!Q140="","",'Engagement Log'!Q140)</f>
        <v/>
      </c>
      <c r="J135" s="72" t="str">
        <f>IF('Engagement Log'!L140="","",'Engagement Log'!L140)</f>
        <v/>
      </c>
    </row>
    <row r="136" spans="1:10" x14ac:dyDescent="0.3">
      <c r="A136" s="73" t="str">
        <f>IF('Engagement Log'!O141="","",'Engagement Log'!O141)</f>
        <v/>
      </c>
      <c r="B136" s="74" t="str">
        <f ca="1">IF('Engagement Log'!O141="","",'Engagement Log'!O141-TODAY())</f>
        <v/>
      </c>
      <c r="C136" s="75" t="str">
        <f>IF('Engagement Log'!B141="","",'Engagement Log'!B141)</f>
        <v/>
      </c>
      <c r="D136" s="75" t="str">
        <f>IF('Engagement Log'!D141="","",'Engagement Log'!D141)</f>
        <v/>
      </c>
      <c r="E136" s="75" t="str">
        <f>IF('Engagement Log'!G141="","",'Engagement Log'!G141)</f>
        <v/>
      </c>
      <c r="F136" s="75" t="str">
        <f>IF('Engagement Log'!N141="","",'Engagement Log'!N141)</f>
        <v/>
      </c>
      <c r="G136" s="75" t="str">
        <f>IF('Engagement Log'!C141="","",'Engagement Log'!C141)</f>
        <v/>
      </c>
      <c r="H136" s="76" t="str">
        <f>IF('Engagement Log'!P141="","",'Engagement Log'!P141)</f>
        <v/>
      </c>
      <c r="I136" s="76" t="str">
        <f>IF('Engagement Log'!Q141="","",'Engagement Log'!Q141)</f>
        <v/>
      </c>
      <c r="J136" s="77" t="str">
        <f>IF('Engagement Log'!L141="","",'Engagement Log'!L141)</f>
        <v/>
      </c>
    </row>
    <row r="137" spans="1:10" x14ac:dyDescent="0.3">
      <c r="A137" s="68" t="str">
        <f>IF('Engagement Log'!O142="","",'Engagement Log'!O142)</f>
        <v/>
      </c>
      <c r="B137" s="69" t="str">
        <f ca="1">IF('Engagement Log'!O142="","",'Engagement Log'!O142-TODAY())</f>
        <v/>
      </c>
      <c r="C137" s="70" t="str">
        <f>IF('Engagement Log'!B142="","",'Engagement Log'!B142)</f>
        <v/>
      </c>
      <c r="D137" s="70" t="str">
        <f>IF('Engagement Log'!D142="","",'Engagement Log'!D142)</f>
        <v/>
      </c>
      <c r="E137" s="70" t="str">
        <f>IF('Engagement Log'!G142="","",'Engagement Log'!G142)</f>
        <v/>
      </c>
      <c r="F137" s="70" t="str">
        <f>IF('Engagement Log'!N142="","",'Engagement Log'!N142)</f>
        <v/>
      </c>
      <c r="G137" s="70" t="str">
        <f>IF('Engagement Log'!C142="","",'Engagement Log'!C142)</f>
        <v/>
      </c>
      <c r="H137" s="71" t="str">
        <f>IF('Engagement Log'!P142="","",'Engagement Log'!P142)</f>
        <v/>
      </c>
      <c r="I137" s="71" t="str">
        <f>IF('Engagement Log'!Q142="","",'Engagement Log'!Q142)</f>
        <v/>
      </c>
      <c r="J137" s="72" t="str">
        <f>IF('Engagement Log'!L142="","",'Engagement Log'!L142)</f>
        <v/>
      </c>
    </row>
    <row r="138" spans="1:10" x14ac:dyDescent="0.3">
      <c r="A138" s="73" t="str">
        <f>IF('Engagement Log'!O143="","",'Engagement Log'!O143)</f>
        <v/>
      </c>
      <c r="B138" s="74" t="str">
        <f ca="1">IF('Engagement Log'!O143="","",'Engagement Log'!O143-TODAY())</f>
        <v/>
      </c>
      <c r="C138" s="75" t="str">
        <f>IF('Engagement Log'!B143="","",'Engagement Log'!B143)</f>
        <v/>
      </c>
      <c r="D138" s="75" t="str">
        <f>IF('Engagement Log'!D143="","",'Engagement Log'!D143)</f>
        <v/>
      </c>
      <c r="E138" s="75" t="str">
        <f>IF('Engagement Log'!G143="","",'Engagement Log'!G143)</f>
        <v/>
      </c>
      <c r="F138" s="75" t="str">
        <f>IF('Engagement Log'!N143="","",'Engagement Log'!N143)</f>
        <v/>
      </c>
      <c r="G138" s="75" t="str">
        <f>IF('Engagement Log'!C143="","",'Engagement Log'!C143)</f>
        <v/>
      </c>
      <c r="H138" s="76" t="str">
        <f>IF('Engagement Log'!P143="","",'Engagement Log'!P143)</f>
        <v/>
      </c>
      <c r="I138" s="76" t="str">
        <f>IF('Engagement Log'!Q143="","",'Engagement Log'!Q143)</f>
        <v/>
      </c>
      <c r="J138" s="77" t="str">
        <f>IF('Engagement Log'!L143="","",'Engagement Log'!L143)</f>
        <v/>
      </c>
    </row>
    <row r="139" spans="1:10" x14ac:dyDescent="0.3">
      <c r="A139" s="68" t="str">
        <f>IF('Engagement Log'!O144="","",'Engagement Log'!O144)</f>
        <v/>
      </c>
      <c r="B139" s="69" t="str">
        <f ca="1">IF('Engagement Log'!O144="","",'Engagement Log'!O144-TODAY())</f>
        <v/>
      </c>
      <c r="C139" s="70" t="str">
        <f>IF('Engagement Log'!B144="","",'Engagement Log'!B144)</f>
        <v/>
      </c>
      <c r="D139" s="70" t="str">
        <f>IF('Engagement Log'!D144="","",'Engagement Log'!D144)</f>
        <v/>
      </c>
      <c r="E139" s="70" t="str">
        <f>IF('Engagement Log'!G144="","",'Engagement Log'!G144)</f>
        <v/>
      </c>
      <c r="F139" s="70" t="str">
        <f>IF('Engagement Log'!N144="","",'Engagement Log'!N144)</f>
        <v/>
      </c>
      <c r="G139" s="70" t="str">
        <f>IF('Engagement Log'!C144="","",'Engagement Log'!C144)</f>
        <v/>
      </c>
      <c r="H139" s="71" t="str">
        <f>IF('Engagement Log'!P144="","",'Engagement Log'!P144)</f>
        <v/>
      </c>
      <c r="I139" s="71" t="str">
        <f>IF('Engagement Log'!Q144="","",'Engagement Log'!Q144)</f>
        <v/>
      </c>
      <c r="J139" s="72" t="str">
        <f>IF('Engagement Log'!L144="","",'Engagement Log'!L144)</f>
        <v/>
      </c>
    </row>
    <row r="140" spans="1:10" x14ac:dyDescent="0.3">
      <c r="A140" s="73" t="str">
        <f>IF('Engagement Log'!O145="","",'Engagement Log'!O145)</f>
        <v/>
      </c>
      <c r="B140" s="74" t="str">
        <f ca="1">IF('Engagement Log'!O145="","",'Engagement Log'!O145-TODAY())</f>
        <v/>
      </c>
      <c r="C140" s="75" t="str">
        <f>IF('Engagement Log'!B145="","",'Engagement Log'!B145)</f>
        <v/>
      </c>
      <c r="D140" s="75" t="str">
        <f>IF('Engagement Log'!D145="","",'Engagement Log'!D145)</f>
        <v/>
      </c>
      <c r="E140" s="75" t="str">
        <f>IF('Engagement Log'!G145="","",'Engagement Log'!G145)</f>
        <v/>
      </c>
      <c r="F140" s="75" t="str">
        <f>IF('Engagement Log'!N145="","",'Engagement Log'!N145)</f>
        <v/>
      </c>
      <c r="G140" s="75" t="str">
        <f>IF('Engagement Log'!C145="","",'Engagement Log'!C145)</f>
        <v/>
      </c>
      <c r="H140" s="76" t="str">
        <f>IF('Engagement Log'!P145="","",'Engagement Log'!P145)</f>
        <v/>
      </c>
      <c r="I140" s="76" t="str">
        <f>IF('Engagement Log'!Q145="","",'Engagement Log'!Q145)</f>
        <v/>
      </c>
      <c r="J140" s="77" t="str">
        <f>IF('Engagement Log'!L145="","",'Engagement Log'!L145)</f>
        <v/>
      </c>
    </row>
    <row r="141" spans="1:10" x14ac:dyDescent="0.3">
      <c r="A141" s="68" t="str">
        <f>IF('Engagement Log'!O146="","",'Engagement Log'!O146)</f>
        <v/>
      </c>
      <c r="B141" s="69" t="str">
        <f ca="1">IF('Engagement Log'!O146="","",'Engagement Log'!O146-TODAY())</f>
        <v/>
      </c>
      <c r="C141" s="70" t="str">
        <f>IF('Engagement Log'!B146="","",'Engagement Log'!B146)</f>
        <v/>
      </c>
      <c r="D141" s="70" t="str">
        <f>IF('Engagement Log'!D146="","",'Engagement Log'!D146)</f>
        <v/>
      </c>
      <c r="E141" s="70" t="str">
        <f>IF('Engagement Log'!G146="","",'Engagement Log'!G146)</f>
        <v/>
      </c>
      <c r="F141" s="70" t="str">
        <f>IF('Engagement Log'!N146="","",'Engagement Log'!N146)</f>
        <v/>
      </c>
      <c r="G141" s="70" t="str">
        <f>IF('Engagement Log'!C146="","",'Engagement Log'!C146)</f>
        <v/>
      </c>
      <c r="H141" s="71" t="str">
        <f>IF('Engagement Log'!P146="","",'Engagement Log'!P146)</f>
        <v/>
      </c>
      <c r="I141" s="71" t="str">
        <f>IF('Engagement Log'!Q146="","",'Engagement Log'!Q146)</f>
        <v/>
      </c>
      <c r="J141" s="72" t="str">
        <f>IF('Engagement Log'!L146="","",'Engagement Log'!L146)</f>
        <v/>
      </c>
    </row>
    <row r="142" spans="1:10" x14ac:dyDescent="0.3">
      <c r="A142" s="73" t="str">
        <f>IF('Engagement Log'!O147="","",'Engagement Log'!O147)</f>
        <v/>
      </c>
      <c r="B142" s="74" t="str">
        <f ca="1">IF('Engagement Log'!O147="","",'Engagement Log'!O147-TODAY())</f>
        <v/>
      </c>
      <c r="C142" s="75" t="str">
        <f>IF('Engagement Log'!B147="","",'Engagement Log'!B147)</f>
        <v/>
      </c>
      <c r="D142" s="75" t="str">
        <f>IF('Engagement Log'!D147="","",'Engagement Log'!D147)</f>
        <v/>
      </c>
      <c r="E142" s="75" t="str">
        <f>IF('Engagement Log'!G147="","",'Engagement Log'!G147)</f>
        <v/>
      </c>
      <c r="F142" s="75" t="str">
        <f>IF('Engagement Log'!N147="","",'Engagement Log'!N147)</f>
        <v/>
      </c>
      <c r="G142" s="75" t="str">
        <f>IF('Engagement Log'!C147="","",'Engagement Log'!C147)</f>
        <v/>
      </c>
      <c r="H142" s="76" t="str">
        <f>IF('Engagement Log'!P147="","",'Engagement Log'!P147)</f>
        <v/>
      </c>
      <c r="I142" s="76" t="str">
        <f>IF('Engagement Log'!Q147="","",'Engagement Log'!Q147)</f>
        <v/>
      </c>
      <c r="J142" s="77" t="str">
        <f>IF('Engagement Log'!L147="","",'Engagement Log'!L147)</f>
        <v/>
      </c>
    </row>
    <row r="143" spans="1:10" x14ac:dyDescent="0.3">
      <c r="A143" s="68" t="str">
        <f>IF('Engagement Log'!O148="","",'Engagement Log'!O148)</f>
        <v/>
      </c>
      <c r="B143" s="69" t="str">
        <f ca="1">IF('Engagement Log'!O148="","",'Engagement Log'!O148-TODAY())</f>
        <v/>
      </c>
      <c r="C143" s="70" t="str">
        <f>IF('Engagement Log'!B148="","",'Engagement Log'!B148)</f>
        <v/>
      </c>
      <c r="D143" s="70" t="str">
        <f>IF('Engagement Log'!D148="","",'Engagement Log'!D148)</f>
        <v/>
      </c>
      <c r="E143" s="70" t="str">
        <f>IF('Engagement Log'!G148="","",'Engagement Log'!G148)</f>
        <v/>
      </c>
      <c r="F143" s="70" t="str">
        <f>IF('Engagement Log'!N148="","",'Engagement Log'!N148)</f>
        <v/>
      </c>
      <c r="G143" s="70" t="str">
        <f>IF('Engagement Log'!C148="","",'Engagement Log'!C148)</f>
        <v/>
      </c>
      <c r="H143" s="71" t="str">
        <f>IF('Engagement Log'!P148="","",'Engagement Log'!P148)</f>
        <v/>
      </c>
      <c r="I143" s="71" t="str">
        <f>IF('Engagement Log'!Q148="","",'Engagement Log'!Q148)</f>
        <v/>
      </c>
      <c r="J143" s="72" t="str">
        <f>IF('Engagement Log'!L148="","",'Engagement Log'!L148)</f>
        <v/>
      </c>
    </row>
    <row r="144" spans="1:10" x14ac:dyDescent="0.3">
      <c r="A144" s="73" t="str">
        <f>IF('Engagement Log'!O149="","",'Engagement Log'!O149)</f>
        <v/>
      </c>
      <c r="B144" s="74" t="str">
        <f ca="1">IF('Engagement Log'!O149="","",'Engagement Log'!O149-TODAY())</f>
        <v/>
      </c>
      <c r="C144" s="75" t="str">
        <f>IF('Engagement Log'!B149="","",'Engagement Log'!B149)</f>
        <v/>
      </c>
      <c r="D144" s="75" t="str">
        <f>IF('Engagement Log'!D149="","",'Engagement Log'!D149)</f>
        <v/>
      </c>
      <c r="E144" s="75" t="str">
        <f>IF('Engagement Log'!G149="","",'Engagement Log'!G149)</f>
        <v/>
      </c>
      <c r="F144" s="75" t="str">
        <f>IF('Engagement Log'!N149="","",'Engagement Log'!N149)</f>
        <v/>
      </c>
      <c r="G144" s="75" t="str">
        <f>IF('Engagement Log'!C149="","",'Engagement Log'!C149)</f>
        <v/>
      </c>
      <c r="H144" s="76" t="str">
        <f>IF('Engagement Log'!P149="","",'Engagement Log'!P149)</f>
        <v/>
      </c>
      <c r="I144" s="76" t="str">
        <f>IF('Engagement Log'!Q149="","",'Engagement Log'!Q149)</f>
        <v/>
      </c>
      <c r="J144" s="77" t="str">
        <f>IF('Engagement Log'!L149="","",'Engagement Log'!L149)</f>
        <v/>
      </c>
    </row>
    <row r="145" spans="1:10" x14ac:dyDescent="0.3">
      <c r="A145" s="68" t="str">
        <f>IF('Engagement Log'!O150="","",'Engagement Log'!O150)</f>
        <v/>
      </c>
      <c r="B145" s="69" t="str">
        <f ca="1">IF('Engagement Log'!O150="","",'Engagement Log'!O150-TODAY())</f>
        <v/>
      </c>
      <c r="C145" s="70" t="str">
        <f>IF('Engagement Log'!B150="","",'Engagement Log'!B150)</f>
        <v/>
      </c>
      <c r="D145" s="70" t="str">
        <f>IF('Engagement Log'!D150="","",'Engagement Log'!D150)</f>
        <v/>
      </c>
      <c r="E145" s="70" t="str">
        <f>IF('Engagement Log'!G150="","",'Engagement Log'!G150)</f>
        <v/>
      </c>
      <c r="F145" s="70" t="str">
        <f>IF('Engagement Log'!N150="","",'Engagement Log'!N150)</f>
        <v/>
      </c>
      <c r="G145" s="70" t="str">
        <f>IF('Engagement Log'!C150="","",'Engagement Log'!C150)</f>
        <v/>
      </c>
      <c r="H145" s="71" t="str">
        <f>IF('Engagement Log'!P150="","",'Engagement Log'!P150)</f>
        <v/>
      </c>
      <c r="I145" s="71" t="str">
        <f>IF('Engagement Log'!Q150="","",'Engagement Log'!Q150)</f>
        <v/>
      </c>
      <c r="J145" s="72" t="str">
        <f>IF('Engagement Log'!L150="","",'Engagement Log'!L150)</f>
        <v/>
      </c>
    </row>
    <row r="146" spans="1:10" x14ac:dyDescent="0.3">
      <c r="A146" s="73" t="str">
        <f>IF('Engagement Log'!O151="","",'Engagement Log'!O151)</f>
        <v/>
      </c>
      <c r="B146" s="74" t="str">
        <f ca="1">IF('Engagement Log'!O151="","",'Engagement Log'!O151-TODAY())</f>
        <v/>
      </c>
      <c r="C146" s="75" t="str">
        <f>IF('Engagement Log'!B151="","",'Engagement Log'!B151)</f>
        <v/>
      </c>
      <c r="D146" s="75" t="str">
        <f>IF('Engagement Log'!D151="","",'Engagement Log'!D151)</f>
        <v/>
      </c>
      <c r="E146" s="75" t="str">
        <f>IF('Engagement Log'!G151="","",'Engagement Log'!G151)</f>
        <v/>
      </c>
      <c r="F146" s="75" t="str">
        <f>IF('Engagement Log'!N151="","",'Engagement Log'!N151)</f>
        <v/>
      </c>
      <c r="G146" s="75" t="str">
        <f>IF('Engagement Log'!C151="","",'Engagement Log'!C151)</f>
        <v/>
      </c>
      <c r="H146" s="76" t="str">
        <f>IF('Engagement Log'!P151="","",'Engagement Log'!P151)</f>
        <v/>
      </c>
      <c r="I146" s="76" t="str">
        <f>IF('Engagement Log'!Q151="","",'Engagement Log'!Q151)</f>
        <v/>
      </c>
      <c r="J146" s="77" t="str">
        <f>IF('Engagement Log'!L151="","",'Engagement Log'!L151)</f>
        <v/>
      </c>
    </row>
    <row r="147" spans="1:10" x14ac:dyDescent="0.3">
      <c r="A147" s="68" t="str">
        <f>IF('Engagement Log'!O152="","",'Engagement Log'!O152)</f>
        <v/>
      </c>
      <c r="B147" s="69" t="str">
        <f ca="1">IF('Engagement Log'!O152="","",'Engagement Log'!O152-TODAY())</f>
        <v/>
      </c>
      <c r="C147" s="70" t="str">
        <f>IF('Engagement Log'!B152="","",'Engagement Log'!B152)</f>
        <v/>
      </c>
      <c r="D147" s="70" t="str">
        <f>IF('Engagement Log'!D152="","",'Engagement Log'!D152)</f>
        <v/>
      </c>
      <c r="E147" s="70" t="str">
        <f>IF('Engagement Log'!G152="","",'Engagement Log'!G152)</f>
        <v/>
      </c>
      <c r="F147" s="70" t="str">
        <f>IF('Engagement Log'!N152="","",'Engagement Log'!N152)</f>
        <v/>
      </c>
      <c r="G147" s="70" t="str">
        <f>IF('Engagement Log'!C152="","",'Engagement Log'!C152)</f>
        <v/>
      </c>
      <c r="H147" s="71" t="str">
        <f>IF('Engagement Log'!P152="","",'Engagement Log'!P152)</f>
        <v/>
      </c>
      <c r="I147" s="71" t="str">
        <f>IF('Engagement Log'!Q152="","",'Engagement Log'!Q152)</f>
        <v/>
      </c>
      <c r="J147" s="72" t="str">
        <f>IF('Engagement Log'!L152="","",'Engagement Log'!L152)</f>
        <v/>
      </c>
    </row>
    <row r="148" spans="1:10" x14ac:dyDescent="0.3">
      <c r="A148" s="73" t="str">
        <f>IF('Engagement Log'!O153="","",'Engagement Log'!O153)</f>
        <v/>
      </c>
      <c r="B148" s="74" t="str">
        <f ca="1">IF('Engagement Log'!O153="","",'Engagement Log'!O153-TODAY())</f>
        <v/>
      </c>
      <c r="C148" s="75" t="str">
        <f>IF('Engagement Log'!B153="","",'Engagement Log'!B153)</f>
        <v/>
      </c>
      <c r="D148" s="75" t="str">
        <f>IF('Engagement Log'!D153="","",'Engagement Log'!D153)</f>
        <v/>
      </c>
      <c r="E148" s="75" t="str">
        <f>IF('Engagement Log'!G153="","",'Engagement Log'!G153)</f>
        <v/>
      </c>
      <c r="F148" s="75" t="str">
        <f>IF('Engagement Log'!N153="","",'Engagement Log'!N153)</f>
        <v/>
      </c>
      <c r="G148" s="75" t="str">
        <f>IF('Engagement Log'!C153="","",'Engagement Log'!C153)</f>
        <v/>
      </c>
      <c r="H148" s="76" t="str">
        <f>IF('Engagement Log'!P153="","",'Engagement Log'!P153)</f>
        <v/>
      </c>
      <c r="I148" s="76" t="str">
        <f>IF('Engagement Log'!Q153="","",'Engagement Log'!Q153)</f>
        <v/>
      </c>
      <c r="J148" s="77" t="str">
        <f>IF('Engagement Log'!L153="","",'Engagement Log'!L153)</f>
        <v/>
      </c>
    </row>
    <row r="149" spans="1:10" x14ac:dyDescent="0.3">
      <c r="A149" s="68" t="str">
        <f>IF('Engagement Log'!O154="","",'Engagement Log'!O154)</f>
        <v/>
      </c>
      <c r="B149" s="69" t="str">
        <f ca="1">IF('Engagement Log'!O154="","",'Engagement Log'!O154-TODAY())</f>
        <v/>
      </c>
      <c r="C149" s="70" t="str">
        <f>IF('Engagement Log'!B154="","",'Engagement Log'!B154)</f>
        <v/>
      </c>
      <c r="D149" s="70" t="str">
        <f>IF('Engagement Log'!D154="","",'Engagement Log'!D154)</f>
        <v/>
      </c>
      <c r="E149" s="70" t="str">
        <f>IF('Engagement Log'!G154="","",'Engagement Log'!G154)</f>
        <v/>
      </c>
      <c r="F149" s="70" t="str">
        <f>IF('Engagement Log'!N154="","",'Engagement Log'!N154)</f>
        <v/>
      </c>
      <c r="G149" s="70" t="str">
        <f>IF('Engagement Log'!C154="","",'Engagement Log'!C154)</f>
        <v/>
      </c>
      <c r="H149" s="71" t="str">
        <f>IF('Engagement Log'!P154="","",'Engagement Log'!P154)</f>
        <v/>
      </c>
      <c r="I149" s="71" t="str">
        <f>IF('Engagement Log'!Q154="","",'Engagement Log'!Q154)</f>
        <v/>
      </c>
      <c r="J149" s="72" t="str">
        <f>IF('Engagement Log'!L154="","",'Engagement Log'!L154)</f>
        <v/>
      </c>
    </row>
    <row r="150" spans="1:10" x14ac:dyDescent="0.3">
      <c r="A150" s="73" t="str">
        <f>IF('Engagement Log'!O155="","",'Engagement Log'!O155)</f>
        <v/>
      </c>
      <c r="B150" s="74" t="str">
        <f ca="1">IF('Engagement Log'!O155="","",'Engagement Log'!O155-TODAY())</f>
        <v/>
      </c>
      <c r="C150" s="75" t="str">
        <f>IF('Engagement Log'!B155="","",'Engagement Log'!B155)</f>
        <v/>
      </c>
      <c r="D150" s="75" t="str">
        <f>IF('Engagement Log'!D155="","",'Engagement Log'!D155)</f>
        <v/>
      </c>
      <c r="E150" s="75" t="str">
        <f>IF('Engagement Log'!G155="","",'Engagement Log'!G155)</f>
        <v/>
      </c>
      <c r="F150" s="75" t="str">
        <f>IF('Engagement Log'!N155="","",'Engagement Log'!N155)</f>
        <v/>
      </c>
      <c r="G150" s="75" t="str">
        <f>IF('Engagement Log'!C155="","",'Engagement Log'!C155)</f>
        <v/>
      </c>
      <c r="H150" s="76" t="str">
        <f>IF('Engagement Log'!P155="","",'Engagement Log'!P155)</f>
        <v/>
      </c>
      <c r="I150" s="76" t="str">
        <f>IF('Engagement Log'!Q155="","",'Engagement Log'!Q155)</f>
        <v/>
      </c>
      <c r="J150" s="77" t="str">
        <f>IF('Engagement Log'!L155="","",'Engagement Log'!L155)</f>
        <v/>
      </c>
    </row>
    <row r="151" spans="1:10" x14ac:dyDescent="0.3">
      <c r="A151" s="68" t="str">
        <f>IF('Engagement Log'!O156="","",'Engagement Log'!O156)</f>
        <v/>
      </c>
      <c r="B151" s="69" t="str">
        <f ca="1">IF('Engagement Log'!O156="","",'Engagement Log'!O156-TODAY())</f>
        <v/>
      </c>
      <c r="C151" s="70" t="str">
        <f>IF('Engagement Log'!B156="","",'Engagement Log'!B156)</f>
        <v/>
      </c>
      <c r="D151" s="70" t="str">
        <f>IF('Engagement Log'!D156="","",'Engagement Log'!D156)</f>
        <v/>
      </c>
      <c r="E151" s="70" t="str">
        <f>IF('Engagement Log'!G156="","",'Engagement Log'!G156)</f>
        <v/>
      </c>
      <c r="F151" s="70" t="str">
        <f>IF('Engagement Log'!N156="","",'Engagement Log'!N156)</f>
        <v/>
      </c>
      <c r="G151" s="70" t="str">
        <f>IF('Engagement Log'!C156="","",'Engagement Log'!C156)</f>
        <v/>
      </c>
      <c r="H151" s="71" t="str">
        <f>IF('Engagement Log'!P156="","",'Engagement Log'!P156)</f>
        <v/>
      </c>
      <c r="I151" s="71" t="str">
        <f>IF('Engagement Log'!Q156="","",'Engagement Log'!Q156)</f>
        <v/>
      </c>
      <c r="J151" s="72" t="str">
        <f>IF('Engagement Log'!L156="","",'Engagement Log'!L156)</f>
        <v/>
      </c>
    </row>
    <row r="152" spans="1:10" x14ac:dyDescent="0.3">
      <c r="A152" s="73" t="str">
        <f>IF('Engagement Log'!O157="","",'Engagement Log'!O157)</f>
        <v/>
      </c>
      <c r="B152" s="74" t="str">
        <f ca="1">IF('Engagement Log'!O157="","",'Engagement Log'!O157-TODAY())</f>
        <v/>
      </c>
      <c r="C152" s="75" t="str">
        <f>IF('Engagement Log'!B157="","",'Engagement Log'!B157)</f>
        <v/>
      </c>
      <c r="D152" s="75" t="str">
        <f>IF('Engagement Log'!D157="","",'Engagement Log'!D157)</f>
        <v/>
      </c>
      <c r="E152" s="75" t="str">
        <f>IF('Engagement Log'!G157="","",'Engagement Log'!G157)</f>
        <v/>
      </c>
      <c r="F152" s="75" t="str">
        <f>IF('Engagement Log'!N157="","",'Engagement Log'!N157)</f>
        <v/>
      </c>
      <c r="G152" s="75" t="str">
        <f>IF('Engagement Log'!C157="","",'Engagement Log'!C157)</f>
        <v/>
      </c>
      <c r="H152" s="76" t="str">
        <f>IF('Engagement Log'!P157="","",'Engagement Log'!P157)</f>
        <v/>
      </c>
      <c r="I152" s="76" t="str">
        <f>IF('Engagement Log'!Q157="","",'Engagement Log'!Q157)</f>
        <v/>
      </c>
      <c r="J152" s="77" t="str">
        <f>IF('Engagement Log'!L157="","",'Engagement Log'!L157)</f>
        <v/>
      </c>
    </row>
    <row r="153" spans="1:10" x14ac:dyDescent="0.3">
      <c r="A153" s="68" t="str">
        <f>IF('Engagement Log'!O158="","",'Engagement Log'!O158)</f>
        <v/>
      </c>
      <c r="B153" s="69" t="str">
        <f ca="1">IF('Engagement Log'!O158="","",'Engagement Log'!O158-TODAY())</f>
        <v/>
      </c>
      <c r="C153" s="70" t="str">
        <f>IF('Engagement Log'!B158="","",'Engagement Log'!B158)</f>
        <v/>
      </c>
      <c r="D153" s="70" t="str">
        <f>IF('Engagement Log'!D158="","",'Engagement Log'!D158)</f>
        <v/>
      </c>
      <c r="E153" s="70" t="str">
        <f>IF('Engagement Log'!G158="","",'Engagement Log'!G158)</f>
        <v/>
      </c>
      <c r="F153" s="70" t="str">
        <f>IF('Engagement Log'!N158="","",'Engagement Log'!N158)</f>
        <v/>
      </c>
      <c r="G153" s="70" t="str">
        <f>IF('Engagement Log'!C158="","",'Engagement Log'!C158)</f>
        <v/>
      </c>
      <c r="H153" s="71" t="str">
        <f>IF('Engagement Log'!P158="","",'Engagement Log'!P158)</f>
        <v/>
      </c>
      <c r="I153" s="71" t="str">
        <f>IF('Engagement Log'!Q158="","",'Engagement Log'!Q158)</f>
        <v/>
      </c>
      <c r="J153" s="72" t="str">
        <f>IF('Engagement Log'!L158="","",'Engagement Log'!L158)</f>
        <v/>
      </c>
    </row>
    <row r="154" spans="1:10" x14ac:dyDescent="0.3">
      <c r="A154" s="73" t="str">
        <f>IF('Engagement Log'!O159="","",'Engagement Log'!O159)</f>
        <v/>
      </c>
      <c r="B154" s="74" t="str">
        <f ca="1">IF('Engagement Log'!O159="","",'Engagement Log'!O159-TODAY())</f>
        <v/>
      </c>
      <c r="C154" s="75" t="str">
        <f>IF('Engagement Log'!B159="","",'Engagement Log'!B159)</f>
        <v/>
      </c>
      <c r="D154" s="75" t="str">
        <f>IF('Engagement Log'!D159="","",'Engagement Log'!D159)</f>
        <v/>
      </c>
      <c r="E154" s="75" t="str">
        <f>IF('Engagement Log'!G159="","",'Engagement Log'!G159)</f>
        <v/>
      </c>
      <c r="F154" s="75" t="str">
        <f>IF('Engagement Log'!N159="","",'Engagement Log'!N159)</f>
        <v/>
      </c>
      <c r="G154" s="75" t="str">
        <f>IF('Engagement Log'!C159="","",'Engagement Log'!C159)</f>
        <v/>
      </c>
      <c r="H154" s="76" t="str">
        <f>IF('Engagement Log'!P159="","",'Engagement Log'!P159)</f>
        <v/>
      </c>
      <c r="I154" s="76" t="str">
        <f>IF('Engagement Log'!Q159="","",'Engagement Log'!Q159)</f>
        <v/>
      </c>
      <c r="J154" s="77" t="str">
        <f>IF('Engagement Log'!L159="","",'Engagement Log'!L159)</f>
        <v/>
      </c>
    </row>
    <row r="155" spans="1:10" x14ac:dyDescent="0.3">
      <c r="A155" s="68" t="str">
        <f>IF('Engagement Log'!O160="","",'Engagement Log'!O160)</f>
        <v/>
      </c>
      <c r="B155" s="69" t="str">
        <f ca="1">IF('Engagement Log'!O160="","",'Engagement Log'!O160-TODAY())</f>
        <v/>
      </c>
      <c r="C155" s="70" t="str">
        <f>IF('Engagement Log'!B160="","",'Engagement Log'!B160)</f>
        <v/>
      </c>
      <c r="D155" s="70" t="str">
        <f>IF('Engagement Log'!D160="","",'Engagement Log'!D160)</f>
        <v/>
      </c>
      <c r="E155" s="70" t="str">
        <f>IF('Engagement Log'!G160="","",'Engagement Log'!G160)</f>
        <v/>
      </c>
      <c r="F155" s="70" t="str">
        <f>IF('Engagement Log'!N160="","",'Engagement Log'!N160)</f>
        <v/>
      </c>
      <c r="G155" s="70" t="str">
        <f>IF('Engagement Log'!C160="","",'Engagement Log'!C160)</f>
        <v/>
      </c>
      <c r="H155" s="71" t="str">
        <f>IF('Engagement Log'!P160="","",'Engagement Log'!P160)</f>
        <v/>
      </c>
      <c r="I155" s="71" t="str">
        <f>IF('Engagement Log'!Q160="","",'Engagement Log'!Q160)</f>
        <v/>
      </c>
      <c r="J155" s="72" t="str">
        <f>IF('Engagement Log'!L160="","",'Engagement Log'!L160)</f>
        <v/>
      </c>
    </row>
    <row r="156" spans="1:10" x14ac:dyDescent="0.3">
      <c r="A156" s="73" t="str">
        <f>IF('Engagement Log'!O161="","",'Engagement Log'!O161)</f>
        <v/>
      </c>
      <c r="B156" s="74" t="str">
        <f ca="1">IF('Engagement Log'!O161="","",'Engagement Log'!O161-TODAY())</f>
        <v/>
      </c>
      <c r="C156" s="75" t="str">
        <f>IF('Engagement Log'!B161="","",'Engagement Log'!B161)</f>
        <v/>
      </c>
      <c r="D156" s="75" t="str">
        <f>IF('Engagement Log'!D161="","",'Engagement Log'!D161)</f>
        <v/>
      </c>
      <c r="E156" s="75" t="str">
        <f>IF('Engagement Log'!G161="","",'Engagement Log'!G161)</f>
        <v/>
      </c>
      <c r="F156" s="75" t="str">
        <f>IF('Engagement Log'!N161="","",'Engagement Log'!N161)</f>
        <v/>
      </c>
      <c r="G156" s="75" t="str">
        <f>IF('Engagement Log'!C161="","",'Engagement Log'!C161)</f>
        <v/>
      </c>
      <c r="H156" s="76" t="str">
        <f>IF('Engagement Log'!P161="","",'Engagement Log'!P161)</f>
        <v/>
      </c>
      <c r="I156" s="76" t="str">
        <f>IF('Engagement Log'!Q161="","",'Engagement Log'!Q161)</f>
        <v/>
      </c>
      <c r="J156" s="77" t="str">
        <f>IF('Engagement Log'!L161="","",'Engagement Log'!L161)</f>
        <v/>
      </c>
    </row>
    <row r="157" spans="1:10" x14ac:dyDescent="0.3">
      <c r="A157" s="68" t="str">
        <f>IF('Engagement Log'!O162="","",'Engagement Log'!O162)</f>
        <v/>
      </c>
      <c r="B157" s="69" t="str">
        <f ca="1">IF('Engagement Log'!O162="","",'Engagement Log'!O162-TODAY())</f>
        <v/>
      </c>
      <c r="C157" s="70" t="str">
        <f>IF('Engagement Log'!B162="","",'Engagement Log'!B162)</f>
        <v/>
      </c>
      <c r="D157" s="70" t="str">
        <f>IF('Engagement Log'!D162="","",'Engagement Log'!D162)</f>
        <v/>
      </c>
      <c r="E157" s="70" t="str">
        <f>IF('Engagement Log'!G162="","",'Engagement Log'!G162)</f>
        <v/>
      </c>
      <c r="F157" s="70" t="str">
        <f>IF('Engagement Log'!N162="","",'Engagement Log'!N162)</f>
        <v/>
      </c>
      <c r="G157" s="70" t="str">
        <f>IF('Engagement Log'!C162="","",'Engagement Log'!C162)</f>
        <v/>
      </c>
      <c r="H157" s="71" t="str">
        <f>IF('Engagement Log'!P162="","",'Engagement Log'!P162)</f>
        <v/>
      </c>
      <c r="I157" s="71" t="str">
        <f>IF('Engagement Log'!Q162="","",'Engagement Log'!Q162)</f>
        <v/>
      </c>
      <c r="J157" s="72" t="str">
        <f>IF('Engagement Log'!L162="","",'Engagement Log'!L162)</f>
        <v/>
      </c>
    </row>
    <row r="158" spans="1:10" x14ac:dyDescent="0.3">
      <c r="A158" s="73" t="str">
        <f>IF('Engagement Log'!O163="","",'Engagement Log'!O163)</f>
        <v/>
      </c>
      <c r="B158" s="74" t="str">
        <f ca="1">IF('Engagement Log'!O163="","",'Engagement Log'!O163-TODAY())</f>
        <v/>
      </c>
      <c r="C158" s="75" t="str">
        <f>IF('Engagement Log'!B163="","",'Engagement Log'!B163)</f>
        <v/>
      </c>
      <c r="D158" s="75" t="str">
        <f>IF('Engagement Log'!D163="","",'Engagement Log'!D163)</f>
        <v/>
      </c>
      <c r="E158" s="75" t="str">
        <f>IF('Engagement Log'!G163="","",'Engagement Log'!G163)</f>
        <v/>
      </c>
      <c r="F158" s="75" t="str">
        <f>IF('Engagement Log'!N163="","",'Engagement Log'!N163)</f>
        <v/>
      </c>
      <c r="G158" s="75" t="str">
        <f>IF('Engagement Log'!C163="","",'Engagement Log'!C163)</f>
        <v/>
      </c>
      <c r="H158" s="76" t="str">
        <f>IF('Engagement Log'!P163="","",'Engagement Log'!P163)</f>
        <v/>
      </c>
      <c r="I158" s="76" t="str">
        <f>IF('Engagement Log'!Q163="","",'Engagement Log'!Q163)</f>
        <v/>
      </c>
      <c r="J158" s="77" t="str">
        <f>IF('Engagement Log'!L163="","",'Engagement Log'!L163)</f>
        <v/>
      </c>
    </row>
    <row r="159" spans="1:10" x14ac:dyDescent="0.3">
      <c r="A159" s="68" t="str">
        <f>IF('Engagement Log'!O164="","",'Engagement Log'!O164)</f>
        <v/>
      </c>
      <c r="B159" s="69" t="str">
        <f ca="1">IF('Engagement Log'!O164="","",'Engagement Log'!O164-TODAY())</f>
        <v/>
      </c>
      <c r="C159" s="70" t="str">
        <f>IF('Engagement Log'!B164="","",'Engagement Log'!B164)</f>
        <v/>
      </c>
      <c r="D159" s="70" t="str">
        <f>IF('Engagement Log'!D164="","",'Engagement Log'!D164)</f>
        <v/>
      </c>
      <c r="E159" s="70" t="str">
        <f>IF('Engagement Log'!G164="","",'Engagement Log'!G164)</f>
        <v/>
      </c>
      <c r="F159" s="70" t="str">
        <f>IF('Engagement Log'!N164="","",'Engagement Log'!N164)</f>
        <v/>
      </c>
      <c r="G159" s="70" t="str">
        <f>IF('Engagement Log'!C164="","",'Engagement Log'!C164)</f>
        <v/>
      </c>
      <c r="H159" s="71" t="str">
        <f>IF('Engagement Log'!P164="","",'Engagement Log'!P164)</f>
        <v/>
      </c>
      <c r="I159" s="71" t="str">
        <f>IF('Engagement Log'!Q164="","",'Engagement Log'!Q164)</f>
        <v/>
      </c>
      <c r="J159" s="72" t="str">
        <f>IF('Engagement Log'!L164="","",'Engagement Log'!L164)</f>
        <v/>
      </c>
    </row>
    <row r="160" spans="1:10" x14ac:dyDescent="0.3">
      <c r="A160" s="73" t="str">
        <f>IF('Engagement Log'!O165="","",'Engagement Log'!O165)</f>
        <v/>
      </c>
      <c r="B160" s="74" t="str">
        <f ca="1">IF('Engagement Log'!O165="","",'Engagement Log'!O165-TODAY())</f>
        <v/>
      </c>
      <c r="C160" s="75" t="str">
        <f>IF('Engagement Log'!B165="","",'Engagement Log'!B165)</f>
        <v/>
      </c>
      <c r="D160" s="75" t="str">
        <f>IF('Engagement Log'!D165="","",'Engagement Log'!D165)</f>
        <v/>
      </c>
      <c r="E160" s="75" t="str">
        <f>IF('Engagement Log'!G165="","",'Engagement Log'!G165)</f>
        <v/>
      </c>
      <c r="F160" s="75" t="str">
        <f>IF('Engagement Log'!N165="","",'Engagement Log'!N165)</f>
        <v/>
      </c>
      <c r="G160" s="75" t="str">
        <f>IF('Engagement Log'!C165="","",'Engagement Log'!C165)</f>
        <v/>
      </c>
      <c r="H160" s="76" t="str">
        <f>IF('Engagement Log'!P165="","",'Engagement Log'!P165)</f>
        <v/>
      </c>
      <c r="I160" s="76" t="str">
        <f>IF('Engagement Log'!Q165="","",'Engagement Log'!Q165)</f>
        <v/>
      </c>
      <c r="J160" s="77" t="str">
        <f>IF('Engagement Log'!L165="","",'Engagement Log'!L165)</f>
        <v/>
      </c>
    </row>
    <row r="161" spans="1:10" x14ac:dyDescent="0.3">
      <c r="A161" s="68" t="str">
        <f>IF('Engagement Log'!O166="","",'Engagement Log'!O166)</f>
        <v/>
      </c>
      <c r="B161" s="69" t="str">
        <f ca="1">IF('Engagement Log'!O166="","",'Engagement Log'!O166-TODAY())</f>
        <v/>
      </c>
      <c r="C161" s="70" t="str">
        <f>IF('Engagement Log'!B166="","",'Engagement Log'!B166)</f>
        <v/>
      </c>
      <c r="D161" s="70" t="str">
        <f>IF('Engagement Log'!D166="","",'Engagement Log'!D166)</f>
        <v/>
      </c>
      <c r="E161" s="70" t="str">
        <f>IF('Engagement Log'!G166="","",'Engagement Log'!G166)</f>
        <v/>
      </c>
      <c r="F161" s="70" t="str">
        <f>IF('Engagement Log'!N166="","",'Engagement Log'!N166)</f>
        <v/>
      </c>
      <c r="G161" s="70" t="str">
        <f>IF('Engagement Log'!C166="","",'Engagement Log'!C166)</f>
        <v/>
      </c>
      <c r="H161" s="71" t="str">
        <f>IF('Engagement Log'!P166="","",'Engagement Log'!P166)</f>
        <v/>
      </c>
      <c r="I161" s="71" t="str">
        <f>IF('Engagement Log'!Q166="","",'Engagement Log'!Q166)</f>
        <v/>
      </c>
      <c r="J161" s="72" t="str">
        <f>IF('Engagement Log'!L166="","",'Engagement Log'!L166)</f>
        <v/>
      </c>
    </row>
    <row r="162" spans="1:10" x14ac:dyDescent="0.3">
      <c r="A162" s="73" t="str">
        <f>IF('Engagement Log'!O167="","",'Engagement Log'!O167)</f>
        <v/>
      </c>
      <c r="B162" s="74" t="str">
        <f ca="1">IF('Engagement Log'!O167="","",'Engagement Log'!O167-TODAY())</f>
        <v/>
      </c>
      <c r="C162" s="75" t="str">
        <f>IF('Engagement Log'!B167="","",'Engagement Log'!B167)</f>
        <v/>
      </c>
      <c r="D162" s="75" t="str">
        <f>IF('Engagement Log'!D167="","",'Engagement Log'!D167)</f>
        <v/>
      </c>
      <c r="E162" s="75" t="str">
        <f>IF('Engagement Log'!G167="","",'Engagement Log'!G167)</f>
        <v/>
      </c>
      <c r="F162" s="75" t="str">
        <f>IF('Engagement Log'!N167="","",'Engagement Log'!N167)</f>
        <v/>
      </c>
      <c r="G162" s="75" t="str">
        <f>IF('Engagement Log'!C167="","",'Engagement Log'!C167)</f>
        <v/>
      </c>
      <c r="H162" s="76" t="str">
        <f>IF('Engagement Log'!P167="","",'Engagement Log'!P167)</f>
        <v/>
      </c>
      <c r="I162" s="76" t="str">
        <f>IF('Engagement Log'!Q167="","",'Engagement Log'!Q167)</f>
        <v/>
      </c>
      <c r="J162" s="77" t="str">
        <f>IF('Engagement Log'!L167="","",'Engagement Log'!L167)</f>
        <v/>
      </c>
    </row>
    <row r="163" spans="1:10" x14ac:dyDescent="0.3">
      <c r="A163" s="68" t="str">
        <f>IF('Engagement Log'!O168="","",'Engagement Log'!O168)</f>
        <v/>
      </c>
      <c r="B163" s="69" t="str">
        <f ca="1">IF('Engagement Log'!O168="","",'Engagement Log'!O168-TODAY())</f>
        <v/>
      </c>
      <c r="C163" s="70" t="str">
        <f>IF('Engagement Log'!B168="","",'Engagement Log'!B168)</f>
        <v/>
      </c>
      <c r="D163" s="70" t="str">
        <f>IF('Engagement Log'!D168="","",'Engagement Log'!D168)</f>
        <v/>
      </c>
      <c r="E163" s="70" t="str">
        <f>IF('Engagement Log'!G168="","",'Engagement Log'!G168)</f>
        <v/>
      </c>
      <c r="F163" s="70" t="str">
        <f>IF('Engagement Log'!N168="","",'Engagement Log'!N168)</f>
        <v/>
      </c>
      <c r="G163" s="70" t="str">
        <f>IF('Engagement Log'!C168="","",'Engagement Log'!C168)</f>
        <v/>
      </c>
      <c r="H163" s="71" t="str">
        <f>IF('Engagement Log'!P168="","",'Engagement Log'!P168)</f>
        <v/>
      </c>
      <c r="I163" s="71" t="str">
        <f>IF('Engagement Log'!Q168="","",'Engagement Log'!Q168)</f>
        <v/>
      </c>
      <c r="J163" s="72" t="str">
        <f>IF('Engagement Log'!L168="","",'Engagement Log'!L168)</f>
        <v/>
      </c>
    </row>
    <row r="164" spans="1:10" x14ac:dyDescent="0.3">
      <c r="A164" s="73" t="str">
        <f>IF('Engagement Log'!O169="","",'Engagement Log'!O169)</f>
        <v/>
      </c>
      <c r="B164" s="74" t="str">
        <f ca="1">IF('Engagement Log'!O169="","",'Engagement Log'!O169-TODAY())</f>
        <v/>
      </c>
      <c r="C164" s="75" t="str">
        <f>IF('Engagement Log'!B169="","",'Engagement Log'!B169)</f>
        <v/>
      </c>
      <c r="D164" s="75" t="str">
        <f>IF('Engagement Log'!D169="","",'Engagement Log'!D169)</f>
        <v/>
      </c>
      <c r="E164" s="75" t="str">
        <f>IF('Engagement Log'!G169="","",'Engagement Log'!G169)</f>
        <v/>
      </c>
      <c r="F164" s="75" t="str">
        <f>IF('Engagement Log'!N169="","",'Engagement Log'!N169)</f>
        <v/>
      </c>
      <c r="G164" s="75" t="str">
        <f>IF('Engagement Log'!C169="","",'Engagement Log'!C169)</f>
        <v/>
      </c>
      <c r="H164" s="76" t="str">
        <f>IF('Engagement Log'!P169="","",'Engagement Log'!P169)</f>
        <v/>
      </c>
      <c r="I164" s="76" t="str">
        <f>IF('Engagement Log'!Q169="","",'Engagement Log'!Q169)</f>
        <v/>
      </c>
      <c r="J164" s="77" t="str">
        <f>IF('Engagement Log'!L169="","",'Engagement Log'!L169)</f>
        <v/>
      </c>
    </row>
    <row r="165" spans="1:10" x14ac:dyDescent="0.3">
      <c r="A165" s="68" t="str">
        <f>IF('Engagement Log'!O170="","",'Engagement Log'!O170)</f>
        <v/>
      </c>
      <c r="B165" s="69" t="str">
        <f ca="1">IF('Engagement Log'!O170="","",'Engagement Log'!O170-TODAY())</f>
        <v/>
      </c>
      <c r="C165" s="70" t="str">
        <f>IF('Engagement Log'!B170="","",'Engagement Log'!B170)</f>
        <v/>
      </c>
      <c r="D165" s="70" t="str">
        <f>IF('Engagement Log'!D170="","",'Engagement Log'!D170)</f>
        <v/>
      </c>
      <c r="E165" s="70" t="str">
        <f>IF('Engagement Log'!G170="","",'Engagement Log'!G170)</f>
        <v/>
      </c>
      <c r="F165" s="70" t="str">
        <f>IF('Engagement Log'!N170="","",'Engagement Log'!N170)</f>
        <v/>
      </c>
      <c r="G165" s="70" t="str">
        <f>IF('Engagement Log'!C170="","",'Engagement Log'!C170)</f>
        <v/>
      </c>
      <c r="H165" s="71" t="str">
        <f>IF('Engagement Log'!P170="","",'Engagement Log'!P170)</f>
        <v/>
      </c>
      <c r="I165" s="71" t="str">
        <f>IF('Engagement Log'!Q170="","",'Engagement Log'!Q170)</f>
        <v/>
      </c>
      <c r="J165" s="72" t="str">
        <f>IF('Engagement Log'!L170="","",'Engagement Log'!L170)</f>
        <v/>
      </c>
    </row>
    <row r="166" spans="1:10" x14ac:dyDescent="0.3">
      <c r="A166" s="73" t="str">
        <f>IF('Engagement Log'!O171="","",'Engagement Log'!O171)</f>
        <v/>
      </c>
      <c r="B166" s="74" t="str">
        <f ca="1">IF('Engagement Log'!O171="","",'Engagement Log'!O171-TODAY())</f>
        <v/>
      </c>
      <c r="C166" s="75" t="str">
        <f>IF('Engagement Log'!B171="","",'Engagement Log'!B171)</f>
        <v/>
      </c>
      <c r="D166" s="75" t="str">
        <f>IF('Engagement Log'!D171="","",'Engagement Log'!D171)</f>
        <v/>
      </c>
      <c r="E166" s="75" t="str">
        <f>IF('Engagement Log'!G171="","",'Engagement Log'!G171)</f>
        <v/>
      </c>
      <c r="F166" s="75" t="str">
        <f>IF('Engagement Log'!N171="","",'Engagement Log'!N171)</f>
        <v/>
      </c>
      <c r="G166" s="75" t="str">
        <f>IF('Engagement Log'!C171="","",'Engagement Log'!C171)</f>
        <v/>
      </c>
      <c r="H166" s="76" t="str">
        <f>IF('Engagement Log'!P171="","",'Engagement Log'!P171)</f>
        <v/>
      </c>
      <c r="I166" s="76" t="str">
        <f>IF('Engagement Log'!Q171="","",'Engagement Log'!Q171)</f>
        <v/>
      </c>
      <c r="J166" s="77" t="str">
        <f>IF('Engagement Log'!L171="","",'Engagement Log'!L171)</f>
        <v/>
      </c>
    </row>
    <row r="167" spans="1:10" x14ac:dyDescent="0.3">
      <c r="A167" s="68" t="str">
        <f>IF('Engagement Log'!O172="","",'Engagement Log'!O172)</f>
        <v/>
      </c>
      <c r="B167" s="69" t="str">
        <f ca="1">IF('Engagement Log'!O172="","",'Engagement Log'!O172-TODAY())</f>
        <v/>
      </c>
      <c r="C167" s="70" t="str">
        <f>IF('Engagement Log'!B172="","",'Engagement Log'!B172)</f>
        <v/>
      </c>
      <c r="D167" s="70" t="str">
        <f>IF('Engagement Log'!D172="","",'Engagement Log'!D172)</f>
        <v/>
      </c>
      <c r="E167" s="70" t="str">
        <f>IF('Engagement Log'!G172="","",'Engagement Log'!G172)</f>
        <v/>
      </c>
      <c r="F167" s="70" t="str">
        <f>IF('Engagement Log'!N172="","",'Engagement Log'!N172)</f>
        <v/>
      </c>
      <c r="G167" s="70" t="str">
        <f>IF('Engagement Log'!C172="","",'Engagement Log'!C172)</f>
        <v/>
      </c>
      <c r="H167" s="71" t="str">
        <f>IF('Engagement Log'!P172="","",'Engagement Log'!P172)</f>
        <v/>
      </c>
      <c r="I167" s="71" t="str">
        <f>IF('Engagement Log'!Q172="","",'Engagement Log'!Q172)</f>
        <v/>
      </c>
      <c r="J167" s="72" t="str">
        <f>IF('Engagement Log'!L172="","",'Engagement Log'!L172)</f>
        <v/>
      </c>
    </row>
    <row r="168" spans="1:10" x14ac:dyDescent="0.3">
      <c r="A168" s="73" t="str">
        <f>IF('Engagement Log'!O173="","",'Engagement Log'!O173)</f>
        <v/>
      </c>
      <c r="B168" s="74" t="str">
        <f ca="1">IF('Engagement Log'!O173="","",'Engagement Log'!O173-TODAY())</f>
        <v/>
      </c>
      <c r="C168" s="75" t="str">
        <f>IF('Engagement Log'!B173="","",'Engagement Log'!B173)</f>
        <v/>
      </c>
      <c r="D168" s="75" t="str">
        <f>IF('Engagement Log'!D173="","",'Engagement Log'!D173)</f>
        <v/>
      </c>
      <c r="E168" s="75" t="str">
        <f>IF('Engagement Log'!G173="","",'Engagement Log'!G173)</f>
        <v/>
      </c>
      <c r="F168" s="75" t="str">
        <f>IF('Engagement Log'!N173="","",'Engagement Log'!N173)</f>
        <v/>
      </c>
      <c r="G168" s="75" t="str">
        <f>IF('Engagement Log'!C173="","",'Engagement Log'!C173)</f>
        <v/>
      </c>
      <c r="H168" s="76" t="str">
        <f>IF('Engagement Log'!P173="","",'Engagement Log'!P173)</f>
        <v/>
      </c>
      <c r="I168" s="76" t="str">
        <f>IF('Engagement Log'!Q173="","",'Engagement Log'!Q173)</f>
        <v/>
      </c>
      <c r="J168" s="77" t="str">
        <f>IF('Engagement Log'!L173="","",'Engagement Log'!L173)</f>
        <v/>
      </c>
    </row>
    <row r="169" spans="1:10" x14ac:dyDescent="0.3">
      <c r="A169" s="68" t="str">
        <f>IF('Engagement Log'!O174="","",'Engagement Log'!O174)</f>
        <v/>
      </c>
      <c r="B169" s="69" t="str">
        <f ca="1">IF('Engagement Log'!O174="","",'Engagement Log'!O174-TODAY())</f>
        <v/>
      </c>
      <c r="C169" s="70" t="str">
        <f>IF('Engagement Log'!B174="","",'Engagement Log'!B174)</f>
        <v/>
      </c>
      <c r="D169" s="70" t="str">
        <f>IF('Engagement Log'!D174="","",'Engagement Log'!D174)</f>
        <v/>
      </c>
      <c r="E169" s="70" t="str">
        <f>IF('Engagement Log'!G174="","",'Engagement Log'!G174)</f>
        <v/>
      </c>
      <c r="F169" s="70" t="str">
        <f>IF('Engagement Log'!N174="","",'Engagement Log'!N174)</f>
        <v/>
      </c>
      <c r="G169" s="70" t="str">
        <f>IF('Engagement Log'!C174="","",'Engagement Log'!C174)</f>
        <v/>
      </c>
      <c r="H169" s="71" t="str">
        <f>IF('Engagement Log'!P174="","",'Engagement Log'!P174)</f>
        <v/>
      </c>
      <c r="I169" s="71" t="str">
        <f>IF('Engagement Log'!Q174="","",'Engagement Log'!Q174)</f>
        <v/>
      </c>
      <c r="J169" s="72" t="str">
        <f>IF('Engagement Log'!L174="","",'Engagement Log'!L174)</f>
        <v/>
      </c>
    </row>
    <row r="170" spans="1:10" x14ac:dyDescent="0.3">
      <c r="A170" s="73" t="str">
        <f>IF('Engagement Log'!O175="","",'Engagement Log'!O175)</f>
        <v/>
      </c>
      <c r="B170" s="74" t="str">
        <f ca="1">IF('Engagement Log'!O175="","",'Engagement Log'!O175-TODAY())</f>
        <v/>
      </c>
      <c r="C170" s="75" t="str">
        <f>IF('Engagement Log'!B175="","",'Engagement Log'!B175)</f>
        <v/>
      </c>
      <c r="D170" s="75" t="str">
        <f>IF('Engagement Log'!D175="","",'Engagement Log'!D175)</f>
        <v/>
      </c>
      <c r="E170" s="75" t="str">
        <f>IF('Engagement Log'!G175="","",'Engagement Log'!G175)</f>
        <v/>
      </c>
      <c r="F170" s="75" t="str">
        <f>IF('Engagement Log'!N175="","",'Engagement Log'!N175)</f>
        <v/>
      </c>
      <c r="G170" s="75" t="str">
        <f>IF('Engagement Log'!C175="","",'Engagement Log'!C175)</f>
        <v/>
      </c>
      <c r="H170" s="76" t="str">
        <f>IF('Engagement Log'!P175="","",'Engagement Log'!P175)</f>
        <v/>
      </c>
      <c r="I170" s="76" t="str">
        <f>IF('Engagement Log'!Q175="","",'Engagement Log'!Q175)</f>
        <v/>
      </c>
      <c r="J170" s="77" t="str">
        <f>IF('Engagement Log'!L175="","",'Engagement Log'!L175)</f>
        <v/>
      </c>
    </row>
    <row r="171" spans="1:10" x14ac:dyDescent="0.3">
      <c r="A171" s="68" t="str">
        <f>IF('Engagement Log'!O176="","",'Engagement Log'!O176)</f>
        <v/>
      </c>
      <c r="B171" s="69" t="str">
        <f ca="1">IF('Engagement Log'!O176="","",'Engagement Log'!O176-TODAY())</f>
        <v/>
      </c>
      <c r="C171" s="70" t="str">
        <f>IF('Engagement Log'!B176="","",'Engagement Log'!B176)</f>
        <v/>
      </c>
      <c r="D171" s="70" t="str">
        <f>IF('Engagement Log'!D176="","",'Engagement Log'!D176)</f>
        <v/>
      </c>
      <c r="E171" s="70" t="str">
        <f>IF('Engagement Log'!G176="","",'Engagement Log'!G176)</f>
        <v/>
      </c>
      <c r="F171" s="70" t="str">
        <f>IF('Engagement Log'!N176="","",'Engagement Log'!N176)</f>
        <v/>
      </c>
      <c r="G171" s="70" t="str">
        <f>IF('Engagement Log'!C176="","",'Engagement Log'!C176)</f>
        <v/>
      </c>
      <c r="H171" s="71" t="str">
        <f>IF('Engagement Log'!P176="","",'Engagement Log'!P176)</f>
        <v/>
      </c>
      <c r="I171" s="71" t="str">
        <f>IF('Engagement Log'!Q176="","",'Engagement Log'!Q176)</f>
        <v/>
      </c>
      <c r="J171" s="72" t="str">
        <f>IF('Engagement Log'!L176="","",'Engagement Log'!L176)</f>
        <v/>
      </c>
    </row>
    <row r="172" spans="1:10" x14ac:dyDescent="0.3">
      <c r="A172" s="73" t="str">
        <f>IF('Engagement Log'!O177="","",'Engagement Log'!O177)</f>
        <v/>
      </c>
      <c r="B172" s="74" t="str">
        <f ca="1">IF('Engagement Log'!O177="","",'Engagement Log'!O177-TODAY())</f>
        <v/>
      </c>
      <c r="C172" s="75" t="str">
        <f>IF('Engagement Log'!B177="","",'Engagement Log'!B177)</f>
        <v/>
      </c>
      <c r="D172" s="75" t="str">
        <f>IF('Engagement Log'!D177="","",'Engagement Log'!D177)</f>
        <v/>
      </c>
      <c r="E172" s="75" t="str">
        <f>IF('Engagement Log'!G177="","",'Engagement Log'!G177)</f>
        <v/>
      </c>
      <c r="F172" s="75" t="str">
        <f>IF('Engagement Log'!N177="","",'Engagement Log'!N177)</f>
        <v/>
      </c>
      <c r="G172" s="75" t="str">
        <f>IF('Engagement Log'!C177="","",'Engagement Log'!C177)</f>
        <v/>
      </c>
      <c r="H172" s="76" t="str">
        <f>IF('Engagement Log'!P177="","",'Engagement Log'!P177)</f>
        <v/>
      </c>
      <c r="I172" s="76" t="str">
        <f>IF('Engagement Log'!Q177="","",'Engagement Log'!Q177)</f>
        <v/>
      </c>
      <c r="J172" s="77" t="str">
        <f>IF('Engagement Log'!L177="","",'Engagement Log'!L177)</f>
        <v/>
      </c>
    </row>
    <row r="173" spans="1:10" x14ac:dyDescent="0.3">
      <c r="A173" s="68" t="str">
        <f>IF('Engagement Log'!O178="","",'Engagement Log'!O178)</f>
        <v/>
      </c>
      <c r="B173" s="69" t="str">
        <f ca="1">IF('Engagement Log'!O178="","",'Engagement Log'!O178-TODAY())</f>
        <v/>
      </c>
      <c r="C173" s="70" t="str">
        <f>IF('Engagement Log'!B178="","",'Engagement Log'!B178)</f>
        <v/>
      </c>
      <c r="D173" s="70" t="str">
        <f>IF('Engagement Log'!D178="","",'Engagement Log'!D178)</f>
        <v/>
      </c>
      <c r="E173" s="70" t="str">
        <f>IF('Engagement Log'!G178="","",'Engagement Log'!G178)</f>
        <v/>
      </c>
      <c r="F173" s="70" t="str">
        <f>IF('Engagement Log'!N178="","",'Engagement Log'!N178)</f>
        <v/>
      </c>
      <c r="G173" s="70" t="str">
        <f>IF('Engagement Log'!C178="","",'Engagement Log'!C178)</f>
        <v/>
      </c>
      <c r="H173" s="71" t="str">
        <f>IF('Engagement Log'!P178="","",'Engagement Log'!P178)</f>
        <v/>
      </c>
      <c r="I173" s="71" t="str">
        <f>IF('Engagement Log'!Q178="","",'Engagement Log'!Q178)</f>
        <v/>
      </c>
      <c r="J173" s="72" t="str">
        <f>IF('Engagement Log'!L178="","",'Engagement Log'!L178)</f>
        <v/>
      </c>
    </row>
    <row r="174" spans="1:10" x14ac:dyDescent="0.3">
      <c r="A174" s="73" t="str">
        <f>IF('Engagement Log'!O179="","",'Engagement Log'!O179)</f>
        <v/>
      </c>
      <c r="B174" s="74" t="str">
        <f ca="1">IF('Engagement Log'!O179="","",'Engagement Log'!O179-TODAY())</f>
        <v/>
      </c>
      <c r="C174" s="75" t="str">
        <f>IF('Engagement Log'!B179="","",'Engagement Log'!B179)</f>
        <v/>
      </c>
      <c r="D174" s="75" t="str">
        <f>IF('Engagement Log'!D179="","",'Engagement Log'!D179)</f>
        <v/>
      </c>
      <c r="E174" s="75" t="str">
        <f>IF('Engagement Log'!G179="","",'Engagement Log'!G179)</f>
        <v/>
      </c>
      <c r="F174" s="75" t="str">
        <f>IF('Engagement Log'!N179="","",'Engagement Log'!N179)</f>
        <v/>
      </c>
      <c r="G174" s="75" t="str">
        <f>IF('Engagement Log'!C179="","",'Engagement Log'!C179)</f>
        <v/>
      </c>
      <c r="H174" s="76" t="str">
        <f>IF('Engagement Log'!P179="","",'Engagement Log'!P179)</f>
        <v/>
      </c>
      <c r="I174" s="76" t="str">
        <f>IF('Engagement Log'!Q179="","",'Engagement Log'!Q179)</f>
        <v/>
      </c>
      <c r="J174" s="77" t="str">
        <f>IF('Engagement Log'!L179="","",'Engagement Log'!L179)</f>
        <v/>
      </c>
    </row>
    <row r="175" spans="1:10" x14ac:dyDescent="0.3">
      <c r="A175" s="68" t="str">
        <f>IF('Engagement Log'!O180="","",'Engagement Log'!O180)</f>
        <v/>
      </c>
      <c r="B175" s="69" t="str">
        <f ca="1">IF('Engagement Log'!O180="","",'Engagement Log'!O180-TODAY())</f>
        <v/>
      </c>
      <c r="C175" s="70" t="str">
        <f>IF('Engagement Log'!B180="","",'Engagement Log'!B180)</f>
        <v/>
      </c>
      <c r="D175" s="70" t="str">
        <f>IF('Engagement Log'!D180="","",'Engagement Log'!D180)</f>
        <v/>
      </c>
      <c r="E175" s="70" t="str">
        <f>IF('Engagement Log'!G180="","",'Engagement Log'!G180)</f>
        <v/>
      </c>
      <c r="F175" s="70" t="str">
        <f>IF('Engagement Log'!N180="","",'Engagement Log'!N180)</f>
        <v/>
      </c>
      <c r="G175" s="70" t="str">
        <f>IF('Engagement Log'!C180="","",'Engagement Log'!C180)</f>
        <v/>
      </c>
      <c r="H175" s="71" t="str">
        <f>IF('Engagement Log'!P180="","",'Engagement Log'!P180)</f>
        <v/>
      </c>
      <c r="I175" s="71" t="str">
        <f>IF('Engagement Log'!Q180="","",'Engagement Log'!Q180)</f>
        <v/>
      </c>
      <c r="J175" s="72" t="str">
        <f>IF('Engagement Log'!L180="","",'Engagement Log'!L180)</f>
        <v/>
      </c>
    </row>
    <row r="176" spans="1:10" x14ac:dyDescent="0.3">
      <c r="A176" s="73" t="str">
        <f>IF('Engagement Log'!O181="","",'Engagement Log'!O181)</f>
        <v/>
      </c>
      <c r="B176" s="74" t="str">
        <f ca="1">IF('Engagement Log'!O181="","",'Engagement Log'!O181-TODAY())</f>
        <v/>
      </c>
      <c r="C176" s="75" t="str">
        <f>IF('Engagement Log'!B181="","",'Engagement Log'!B181)</f>
        <v/>
      </c>
      <c r="D176" s="75" t="str">
        <f>IF('Engagement Log'!D181="","",'Engagement Log'!D181)</f>
        <v/>
      </c>
      <c r="E176" s="75" t="str">
        <f>IF('Engagement Log'!G181="","",'Engagement Log'!G181)</f>
        <v/>
      </c>
      <c r="F176" s="75" t="str">
        <f>IF('Engagement Log'!N181="","",'Engagement Log'!N181)</f>
        <v/>
      </c>
      <c r="G176" s="75" t="str">
        <f>IF('Engagement Log'!C181="","",'Engagement Log'!C181)</f>
        <v/>
      </c>
      <c r="H176" s="76" t="str">
        <f>IF('Engagement Log'!P181="","",'Engagement Log'!P181)</f>
        <v/>
      </c>
      <c r="I176" s="76" t="str">
        <f>IF('Engagement Log'!Q181="","",'Engagement Log'!Q181)</f>
        <v/>
      </c>
      <c r="J176" s="77" t="str">
        <f>IF('Engagement Log'!L181="","",'Engagement Log'!L181)</f>
        <v/>
      </c>
    </row>
    <row r="177" spans="1:10" x14ac:dyDescent="0.3">
      <c r="A177" s="68" t="str">
        <f>IF('Engagement Log'!O182="","",'Engagement Log'!O182)</f>
        <v/>
      </c>
      <c r="B177" s="69" t="str">
        <f ca="1">IF('Engagement Log'!O182="","",'Engagement Log'!O182-TODAY())</f>
        <v/>
      </c>
      <c r="C177" s="70" t="str">
        <f>IF('Engagement Log'!B182="","",'Engagement Log'!B182)</f>
        <v/>
      </c>
      <c r="D177" s="70" t="str">
        <f>IF('Engagement Log'!D182="","",'Engagement Log'!D182)</f>
        <v/>
      </c>
      <c r="E177" s="70" t="str">
        <f>IF('Engagement Log'!G182="","",'Engagement Log'!G182)</f>
        <v/>
      </c>
      <c r="F177" s="70" t="str">
        <f>IF('Engagement Log'!N182="","",'Engagement Log'!N182)</f>
        <v/>
      </c>
      <c r="G177" s="70" t="str">
        <f>IF('Engagement Log'!C182="","",'Engagement Log'!C182)</f>
        <v/>
      </c>
      <c r="H177" s="71" t="str">
        <f>IF('Engagement Log'!P182="","",'Engagement Log'!P182)</f>
        <v/>
      </c>
      <c r="I177" s="71" t="str">
        <f>IF('Engagement Log'!Q182="","",'Engagement Log'!Q182)</f>
        <v/>
      </c>
      <c r="J177" s="72" t="str">
        <f>IF('Engagement Log'!L182="","",'Engagement Log'!L182)</f>
        <v/>
      </c>
    </row>
    <row r="178" spans="1:10" x14ac:dyDescent="0.3">
      <c r="A178" s="73" t="str">
        <f>IF('Engagement Log'!O183="","",'Engagement Log'!O183)</f>
        <v/>
      </c>
      <c r="B178" s="74" t="str">
        <f ca="1">IF('Engagement Log'!O183="","",'Engagement Log'!O183-TODAY())</f>
        <v/>
      </c>
      <c r="C178" s="75" t="str">
        <f>IF('Engagement Log'!B183="","",'Engagement Log'!B183)</f>
        <v/>
      </c>
      <c r="D178" s="75" t="str">
        <f>IF('Engagement Log'!D183="","",'Engagement Log'!D183)</f>
        <v/>
      </c>
      <c r="E178" s="75" t="str">
        <f>IF('Engagement Log'!G183="","",'Engagement Log'!G183)</f>
        <v/>
      </c>
      <c r="F178" s="75" t="str">
        <f>IF('Engagement Log'!N183="","",'Engagement Log'!N183)</f>
        <v/>
      </c>
      <c r="G178" s="75" t="str">
        <f>IF('Engagement Log'!C183="","",'Engagement Log'!C183)</f>
        <v/>
      </c>
      <c r="H178" s="76" t="str">
        <f>IF('Engagement Log'!P183="","",'Engagement Log'!P183)</f>
        <v/>
      </c>
      <c r="I178" s="76" t="str">
        <f>IF('Engagement Log'!Q183="","",'Engagement Log'!Q183)</f>
        <v/>
      </c>
      <c r="J178" s="77" t="str">
        <f>IF('Engagement Log'!L183="","",'Engagement Log'!L183)</f>
        <v/>
      </c>
    </row>
    <row r="179" spans="1:10" x14ac:dyDescent="0.3">
      <c r="A179" s="68" t="str">
        <f>IF('Engagement Log'!O184="","",'Engagement Log'!O184)</f>
        <v/>
      </c>
      <c r="B179" s="69" t="str">
        <f ca="1">IF('Engagement Log'!O184="","",'Engagement Log'!O184-TODAY())</f>
        <v/>
      </c>
      <c r="C179" s="70" t="str">
        <f>IF('Engagement Log'!B184="","",'Engagement Log'!B184)</f>
        <v/>
      </c>
      <c r="D179" s="70" t="str">
        <f>IF('Engagement Log'!D184="","",'Engagement Log'!D184)</f>
        <v/>
      </c>
      <c r="E179" s="70" t="str">
        <f>IF('Engagement Log'!G184="","",'Engagement Log'!G184)</f>
        <v/>
      </c>
      <c r="F179" s="70" t="str">
        <f>IF('Engagement Log'!N184="","",'Engagement Log'!N184)</f>
        <v/>
      </c>
      <c r="G179" s="70" t="str">
        <f>IF('Engagement Log'!C184="","",'Engagement Log'!C184)</f>
        <v/>
      </c>
      <c r="H179" s="71" t="str">
        <f>IF('Engagement Log'!P184="","",'Engagement Log'!P184)</f>
        <v/>
      </c>
      <c r="I179" s="71" t="str">
        <f>IF('Engagement Log'!Q184="","",'Engagement Log'!Q184)</f>
        <v/>
      </c>
      <c r="J179" s="72" t="str">
        <f>IF('Engagement Log'!L184="","",'Engagement Log'!L184)</f>
        <v/>
      </c>
    </row>
    <row r="180" spans="1:10" x14ac:dyDescent="0.3">
      <c r="A180" s="73" t="str">
        <f>IF('Engagement Log'!O185="","",'Engagement Log'!O185)</f>
        <v/>
      </c>
      <c r="B180" s="74" t="str">
        <f ca="1">IF('Engagement Log'!O185="","",'Engagement Log'!O185-TODAY())</f>
        <v/>
      </c>
      <c r="C180" s="75" t="str">
        <f>IF('Engagement Log'!B185="","",'Engagement Log'!B185)</f>
        <v/>
      </c>
      <c r="D180" s="75" t="str">
        <f>IF('Engagement Log'!D185="","",'Engagement Log'!D185)</f>
        <v/>
      </c>
      <c r="E180" s="75" t="str">
        <f>IF('Engagement Log'!G185="","",'Engagement Log'!G185)</f>
        <v/>
      </c>
      <c r="F180" s="75" t="str">
        <f>IF('Engagement Log'!N185="","",'Engagement Log'!N185)</f>
        <v/>
      </c>
      <c r="G180" s="75" t="str">
        <f>IF('Engagement Log'!C185="","",'Engagement Log'!C185)</f>
        <v/>
      </c>
      <c r="H180" s="76" t="str">
        <f>IF('Engagement Log'!P185="","",'Engagement Log'!P185)</f>
        <v/>
      </c>
      <c r="I180" s="76" t="str">
        <f>IF('Engagement Log'!Q185="","",'Engagement Log'!Q185)</f>
        <v/>
      </c>
      <c r="J180" s="77" t="str">
        <f>IF('Engagement Log'!L185="","",'Engagement Log'!L185)</f>
        <v/>
      </c>
    </row>
    <row r="181" spans="1:10" x14ac:dyDescent="0.3">
      <c r="A181" s="68" t="str">
        <f>IF('Engagement Log'!O186="","",'Engagement Log'!O186)</f>
        <v/>
      </c>
      <c r="B181" s="69" t="str">
        <f ca="1">IF('Engagement Log'!O186="","",'Engagement Log'!O186-TODAY())</f>
        <v/>
      </c>
      <c r="C181" s="70" t="str">
        <f>IF('Engagement Log'!B186="","",'Engagement Log'!B186)</f>
        <v/>
      </c>
      <c r="D181" s="70" t="str">
        <f>IF('Engagement Log'!D186="","",'Engagement Log'!D186)</f>
        <v/>
      </c>
      <c r="E181" s="70" t="str">
        <f>IF('Engagement Log'!G186="","",'Engagement Log'!G186)</f>
        <v/>
      </c>
      <c r="F181" s="70" t="str">
        <f>IF('Engagement Log'!N186="","",'Engagement Log'!N186)</f>
        <v/>
      </c>
      <c r="G181" s="70" t="str">
        <f>IF('Engagement Log'!C186="","",'Engagement Log'!C186)</f>
        <v/>
      </c>
      <c r="H181" s="71" t="str">
        <f>IF('Engagement Log'!P186="","",'Engagement Log'!P186)</f>
        <v/>
      </c>
      <c r="I181" s="71" t="str">
        <f>IF('Engagement Log'!Q186="","",'Engagement Log'!Q186)</f>
        <v/>
      </c>
      <c r="J181" s="72" t="str">
        <f>IF('Engagement Log'!L186="","",'Engagement Log'!L186)</f>
        <v/>
      </c>
    </row>
    <row r="182" spans="1:10" x14ac:dyDescent="0.3">
      <c r="A182" s="73" t="str">
        <f>IF('Engagement Log'!O187="","",'Engagement Log'!O187)</f>
        <v/>
      </c>
      <c r="B182" s="74" t="str">
        <f ca="1">IF('Engagement Log'!O187="","",'Engagement Log'!O187-TODAY())</f>
        <v/>
      </c>
      <c r="C182" s="75" t="str">
        <f>IF('Engagement Log'!B187="","",'Engagement Log'!B187)</f>
        <v/>
      </c>
      <c r="D182" s="75" t="str">
        <f>IF('Engagement Log'!D187="","",'Engagement Log'!D187)</f>
        <v/>
      </c>
      <c r="E182" s="75" t="str">
        <f>IF('Engagement Log'!G187="","",'Engagement Log'!G187)</f>
        <v/>
      </c>
      <c r="F182" s="75" t="str">
        <f>IF('Engagement Log'!N187="","",'Engagement Log'!N187)</f>
        <v/>
      </c>
      <c r="G182" s="75" t="str">
        <f>IF('Engagement Log'!C187="","",'Engagement Log'!C187)</f>
        <v/>
      </c>
      <c r="H182" s="76" t="str">
        <f>IF('Engagement Log'!P187="","",'Engagement Log'!P187)</f>
        <v/>
      </c>
      <c r="I182" s="76" t="str">
        <f>IF('Engagement Log'!Q187="","",'Engagement Log'!Q187)</f>
        <v/>
      </c>
      <c r="J182" s="77" t="str">
        <f>IF('Engagement Log'!L187="","",'Engagement Log'!L187)</f>
        <v/>
      </c>
    </row>
    <row r="183" spans="1:10" x14ac:dyDescent="0.3">
      <c r="A183" s="68" t="str">
        <f>IF('Engagement Log'!O188="","",'Engagement Log'!O188)</f>
        <v/>
      </c>
      <c r="B183" s="69" t="str">
        <f ca="1">IF('Engagement Log'!O188="","",'Engagement Log'!O188-TODAY())</f>
        <v/>
      </c>
      <c r="C183" s="70" t="str">
        <f>IF('Engagement Log'!B188="","",'Engagement Log'!B188)</f>
        <v/>
      </c>
      <c r="D183" s="70" t="str">
        <f>IF('Engagement Log'!D188="","",'Engagement Log'!D188)</f>
        <v/>
      </c>
      <c r="E183" s="70" t="str">
        <f>IF('Engagement Log'!G188="","",'Engagement Log'!G188)</f>
        <v/>
      </c>
      <c r="F183" s="70" t="str">
        <f>IF('Engagement Log'!N188="","",'Engagement Log'!N188)</f>
        <v/>
      </c>
      <c r="G183" s="70" t="str">
        <f>IF('Engagement Log'!C188="","",'Engagement Log'!C188)</f>
        <v/>
      </c>
      <c r="H183" s="71" t="str">
        <f>IF('Engagement Log'!P188="","",'Engagement Log'!P188)</f>
        <v/>
      </c>
      <c r="I183" s="71" t="str">
        <f>IF('Engagement Log'!Q188="","",'Engagement Log'!Q188)</f>
        <v/>
      </c>
      <c r="J183" s="72" t="str">
        <f>IF('Engagement Log'!L188="","",'Engagement Log'!L188)</f>
        <v/>
      </c>
    </row>
    <row r="184" spans="1:10" x14ac:dyDescent="0.3">
      <c r="A184" s="73" t="str">
        <f>IF('Engagement Log'!O189="","",'Engagement Log'!O189)</f>
        <v/>
      </c>
      <c r="B184" s="74" t="str">
        <f ca="1">IF('Engagement Log'!O189="","",'Engagement Log'!O189-TODAY())</f>
        <v/>
      </c>
      <c r="C184" s="75" t="str">
        <f>IF('Engagement Log'!B189="","",'Engagement Log'!B189)</f>
        <v/>
      </c>
      <c r="D184" s="75" t="str">
        <f>IF('Engagement Log'!D189="","",'Engagement Log'!D189)</f>
        <v/>
      </c>
      <c r="E184" s="75" t="str">
        <f>IF('Engagement Log'!G189="","",'Engagement Log'!G189)</f>
        <v/>
      </c>
      <c r="F184" s="75" t="str">
        <f>IF('Engagement Log'!N189="","",'Engagement Log'!N189)</f>
        <v/>
      </c>
      <c r="G184" s="75" t="str">
        <f>IF('Engagement Log'!C189="","",'Engagement Log'!C189)</f>
        <v/>
      </c>
      <c r="H184" s="76" t="str">
        <f>IF('Engagement Log'!P189="","",'Engagement Log'!P189)</f>
        <v/>
      </c>
      <c r="I184" s="76" t="str">
        <f>IF('Engagement Log'!Q189="","",'Engagement Log'!Q189)</f>
        <v/>
      </c>
      <c r="J184" s="77" t="str">
        <f>IF('Engagement Log'!L189="","",'Engagement Log'!L189)</f>
        <v/>
      </c>
    </row>
    <row r="185" spans="1:10" x14ac:dyDescent="0.3">
      <c r="A185" s="68" t="str">
        <f>IF('Engagement Log'!O190="","",'Engagement Log'!O190)</f>
        <v/>
      </c>
      <c r="B185" s="69" t="str">
        <f ca="1">IF('Engagement Log'!O190="","",'Engagement Log'!O190-TODAY())</f>
        <v/>
      </c>
      <c r="C185" s="70" t="str">
        <f>IF('Engagement Log'!B190="","",'Engagement Log'!B190)</f>
        <v/>
      </c>
      <c r="D185" s="70" t="str">
        <f>IF('Engagement Log'!D190="","",'Engagement Log'!D190)</f>
        <v/>
      </c>
      <c r="E185" s="70" t="str">
        <f>IF('Engagement Log'!G190="","",'Engagement Log'!G190)</f>
        <v/>
      </c>
      <c r="F185" s="70" t="str">
        <f>IF('Engagement Log'!N190="","",'Engagement Log'!N190)</f>
        <v/>
      </c>
      <c r="G185" s="70" t="str">
        <f>IF('Engagement Log'!C190="","",'Engagement Log'!C190)</f>
        <v/>
      </c>
      <c r="H185" s="71" t="str">
        <f>IF('Engagement Log'!P190="","",'Engagement Log'!P190)</f>
        <v/>
      </c>
      <c r="I185" s="71" t="str">
        <f>IF('Engagement Log'!Q190="","",'Engagement Log'!Q190)</f>
        <v/>
      </c>
      <c r="J185" s="72" t="str">
        <f>IF('Engagement Log'!L190="","",'Engagement Log'!L190)</f>
        <v/>
      </c>
    </row>
    <row r="186" spans="1:10" x14ac:dyDescent="0.3">
      <c r="A186" s="73" t="str">
        <f>IF('Engagement Log'!O191="","",'Engagement Log'!O191)</f>
        <v/>
      </c>
      <c r="B186" s="74" t="str">
        <f ca="1">IF('Engagement Log'!O191="","",'Engagement Log'!O191-TODAY())</f>
        <v/>
      </c>
      <c r="C186" s="75" t="str">
        <f>IF('Engagement Log'!B191="","",'Engagement Log'!B191)</f>
        <v/>
      </c>
      <c r="D186" s="75" t="str">
        <f>IF('Engagement Log'!D191="","",'Engagement Log'!D191)</f>
        <v/>
      </c>
      <c r="E186" s="75" t="str">
        <f>IF('Engagement Log'!G191="","",'Engagement Log'!G191)</f>
        <v/>
      </c>
      <c r="F186" s="75" t="str">
        <f>IF('Engagement Log'!N191="","",'Engagement Log'!N191)</f>
        <v/>
      </c>
      <c r="G186" s="75" t="str">
        <f>IF('Engagement Log'!C191="","",'Engagement Log'!C191)</f>
        <v/>
      </c>
      <c r="H186" s="76" t="str">
        <f>IF('Engagement Log'!P191="","",'Engagement Log'!P191)</f>
        <v/>
      </c>
      <c r="I186" s="76" t="str">
        <f>IF('Engagement Log'!Q191="","",'Engagement Log'!Q191)</f>
        <v/>
      </c>
      <c r="J186" s="77" t="str">
        <f>IF('Engagement Log'!L191="","",'Engagement Log'!L191)</f>
        <v/>
      </c>
    </row>
    <row r="187" spans="1:10" x14ac:dyDescent="0.3">
      <c r="A187" s="68" t="str">
        <f>IF('Engagement Log'!O192="","",'Engagement Log'!O192)</f>
        <v/>
      </c>
      <c r="B187" s="69" t="str">
        <f ca="1">IF('Engagement Log'!O192="","",'Engagement Log'!O192-TODAY())</f>
        <v/>
      </c>
      <c r="C187" s="70" t="str">
        <f>IF('Engagement Log'!B192="","",'Engagement Log'!B192)</f>
        <v/>
      </c>
      <c r="D187" s="70" t="str">
        <f>IF('Engagement Log'!D192="","",'Engagement Log'!D192)</f>
        <v/>
      </c>
      <c r="E187" s="70" t="str">
        <f>IF('Engagement Log'!G192="","",'Engagement Log'!G192)</f>
        <v/>
      </c>
      <c r="F187" s="70" t="str">
        <f>IF('Engagement Log'!N192="","",'Engagement Log'!N192)</f>
        <v/>
      </c>
      <c r="G187" s="70" t="str">
        <f>IF('Engagement Log'!C192="","",'Engagement Log'!C192)</f>
        <v/>
      </c>
      <c r="H187" s="71" t="str">
        <f>IF('Engagement Log'!P192="","",'Engagement Log'!P192)</f>
        <v/>
      </c>
      <c r="I187" s="71" t="str">
        <f>IF('Engagement Log'!Q192="","",'Engagement Log'!Q192)</f>
        <v/>
      </c>
      <c r="J187" s="72" t="str">
        <f>IF('Engagement Log'!L192="","",'Engagement Log'!L192)</f>
        <v/>
      </c>
    </row>
    <row r="188" spans="1:10" x14ac:dyDescent="0.3">
      <c r="A188" s="73" t="str">
        <f>IF('Engagement Log'!O193="","",'Engagement Log'!O193)</f>
        <v/>
      </c>
      <c r="B188" s="74" t="str">
        <f ca="1">IF('Engagement Log'!O193="","",'Engagement Log'!O193-TODAY())</f>
        <v/>
      </c>
      <c r="C188" s="75" t="str">
        <f>IF('Engagement Log'!B193="","",'Engagement Log'!B193)</f>
        <v/>
      </c>
      <c r="D188" s="75" t="str">
        <f>IF('Engagement Log'!D193="","",'Engagement Log'!D193)</f>
        <v/>
      </c>
      <c r="E188" s="75" t="str">
        <f>IF('Engagement Log'!G193="","",'Engagement Log'!G193)</f>
        <v/>
      </c>
      <c r="F188" s="75" t="str">
        <f>IF('Engagement Log'!N193="","",'Engagement Log'!N193)</f>
        <v/>
      </c>
      <c r="G188" s="75" t="str">
        <f>IF('Engagement Log'!C193="","",'Engagement Log'!C193)</f>
        <v/>
      </c>
      <c r="H188" s="76" t="str">
        <f>IF('Engagement Log'!P193="","",'Engagement Log'!P193)</f>
        <v/>
      </c>
      <c r="I188" s="76" t="str">
        <f>IF('Engagement Log'!Q193="","",'Engagement Log'!Q193)</f>
        <v/>
      </c>
      <c r="J188" s="77" t="str">
        <f>IF('Engagement Log'!L193="","",'Engagement Log'!L193)</f>
        <v/>
      </c>
    </row>
    <row r="189" spans="1:10" x14ac:dyDescent="0.3">
      <c r="A189" s="68" t="str">
        <f>IF('Engagement Log'!O194="","",'Engagement Log'!O194)</f>
        <v/>
      </c>
      <c r="B189" s="69" t="str">
        <f ca="1">IF('Engagement Log'!O194="","",'Engagement Log'!O194-TODAY())</f>
        <v/>
      </c>
      <c r="C189" s="70" t="str">
        <f>IF('Engagement Log'!B194="","",'Engagement Log'!B194)</f>
        <v/>
      </c>
      <c r="D189" s="70" t="str">
        <f>IF('Engagement Log'!D194="","",'Engagement Log'!D194)</f>
        <v/>
      </c>
      <c r="E189" s="70" t="str">
        <f>IF('Engagement Log'!G194="","",'Engagement Log'!G194)</f>
        <v/>
      </c>
      <c r="F189" s="70" t="str">
        <f>IF('Engagement Log'!N194="","",'Engagement Log'!N194)</f>
        <v/>
      </c>
      <c r="G189" s="70" t="str">
        <f>IF('Engagement Log'!C194="","",'Engagement Log'!C194)</f>
        <v/>
      </c>
      <c r="H189" s="71" t="str">
        <f>IF('Engagement Log'!P194="","",'Engagement Log'!P194)</f>
        <v/>
      </c>
      <c r="I189" s="71" t="str">
        <f>IF('Engagement Log'!Q194="","",'Engagement Log'!Q194)</f>
        <v/>
      </c>
      <c r="J189" s="72" t="str">
        <f>IF('Engagement Log'!L194="","",'Engagement Log'!L194)</f>
        <v/>
      </c>
    </row>
    <row r="190" spans="1:10" x14ac:dyDescent="0.3">
      <c r="A190" s="73" t="str">
        <f>IF('Engagement Log'!O195="","",'Engagement Log'!O195)</f>
        <v/>
      </c>
      <c r="B190" s="74" t="str">
        <f ca="1">IF('Engagement Log'!O195="","",'Engagement Log'!O195-TODAY())</f>
        <v/>
      </c>
      <c r="C190" s="75" t="str">
        <f>IF('Engagement Log'!B195="","",'Engagement Log'!B195)</f>
        <v/>
      </c>
      <c r="D190" s="75" t="str">
        <f>IF('Engagement Log'!D195="","",'Engagement Log'!D195)</f>
        <v/>
      </c>
      <c r="E190" s="75" t="str">
        <f>IF('Engagement Log'!G195="","",'Engagement Log'!G195)</f>
        <v/>
      </c>
      <c r="F190" s="75" t="str">
        <f>IF('Engagement Log'!N195="","",'Engagement Log'!N195)</f>
        <v/>
      </c>
      <c r="G190" s="75" t="str">
        <f>IF('Engagement Log'!C195="","",'Engagement Log'!C195)</f>
        <v/>
      </c>
      <c r="H190" s="76" t="str">
        <f>IF('Engagement Log'!P195="","",'Engagement Log'!P195)</f>
        <v/>
      </c>
      <c r="I190" s="76" t="str">
        <f>IF('Engagement Log'!Q195="","",'Engagement Log'!Q195)</f>
        <v/>
      </c>
      <c r="J190" s="77" t="str">
        <f>IF('Engagement Log'!L195="","",'Engagement Log'!L195)</f>
        <v/>
      </c>
    </row>
    <row r="191" spans="1:10" x14ac:dyDescent="0.3">
      <c r="A191" s="68" t="str">
        <f>IF('Engagement Log'!O196="","",'Engagement Log'!O196)</f>
        <v/>
      </c>
      <c r="B191" s="69" t="str">
        <f ca="1">IF('Engagement Log'!O196="","",'Engagement Log'!O196-TODAY())</f>
        <v/>
      </c>
      <c r="C191" s="70" t="str">
        <f>IF('Engagement Log'!B196="","",'Engagement Log'!B196)</f>
        <v/>
      </c>
      <c r="D191" s="70" t="str">
        <f>IF('Engagement Log'!D196="","",'Engagement Log'!D196)</f>
        <v/>
      </c>
      <c r="E191" s="70" t="str">
        <f>IF('Engagement Log'!G196="","",'Engagement Log'!G196)</f>
        <v/>
      </c>
      <c r="F191" s="70" t="str">
        <f>IF('Engagement Log'!N196="","",'Engagement Log'!N196)</f>
        <v/>
      </c>
      <c r="G191" s="70" t="str">
        <f>IF('Engagement Log'!C196="","",'Engagement Log'!C196)</f>
        <v/>
      </c>
      <c r="H191" s="71" t="str">
        <f>IF('Engagement Log'!P196="","",'Engagement Log'!P196)</f>
        <v/>
      </c>
      <c r="I191" s="71" t="str">
        <f>IF('Engagement Log'!Q196="","",'Engagement Log'!Q196)</f>
        <v/>
      </c>
      <c r="J191" s="72" t="str">
        <f>IF('Engagement Log'!L196="","",'Engagement Log'!L196)</f>
        <v/>
      </c>
    </row>
    <row r="192" spans="1:10" x14ac:dyDescent="0.3">
      <c r="A192" s="73" t="str">
        <f>IF('Engagement Log'!O197="","",'Engagement Log'!O197)</f>
        <v/>
      </c>
      <c r="B192" s="74" t="str">
        <f ca="1">IF('Engagement Log'!O197="","",'Engagement Log'!O197-TODAY())</f>
        <v/>
      </c>
      <c r="C192" s="75" t="str">
        <f>IF('Engagement Log'!B197="","",'Engagement Log'!B197)</f>
        <v/>
      </c>
      <c r="D192" s="75" t="str">
        <f>IF('Engagement Log'!D197="","",'Engagement Log'!D197)</f>
        <v/>
      </c>
      <c r="E192" s="75" t="str">
        <f>IF('Engagement Log'!G197="","",'Engagement Log'!G197)</f>
        <v/>
      </c>
      <c r="F192" s="75" t="str">
        <f>IF('Engagement Log'!N197="","",'Engagement Log'!N197)</f>
        <v/>
      </c>
      <c r="G192" s="75" t="str">
        <f>IF('Engagement Log'!C197="","",'Engagement Log'!C197)</f>
        <v/>
      </c>
      <c r="H192" s="76" t="str">
        <f>IF('Engagement Log'!P197="","",'Engagement Log'!P197)</f>
        <v/>
      </c>
      <c r="I192" s="76" t="str">
        <f>IF('Engagement Log'!Q197="","",'Engagement Log'!Q197)</f>
        <v/>
      </c>
      <c r="J192" s="77" t="str">
        <f>IF('Engagement Log'!L197="","",'Engagement Log'!L197)</f>
        <v/>
      </c>
    </row>
    <row r="193" spans="1:10" x14ac:dyDescent="0.3">
      <c r="A193" s="68" t="str">
        <f>IF('Engagement Log'!O198="","",'Engagement Log'!O198)</f>
        <v/>
      </c>
      <c r="B193" s="69" t="str">
        <f ca="1">IF('Engagement Log'!O198="","",'Engagement Log'!O198-TODAY())</f>
        <v/>
      </c>
      <c r="C193" s="70" t="str">
        <f>IF('Engagement Log'!B198="","",'Engagement Log'!B198)</f>
        <v/>
      </c>
      <c r="D193" s="70" t="str">
        <f>IF('Engagement Log'!D198="","",'Engagement Log'!D198)</f>
        <v/>
      </c>
      <c r="E193" s="70" t="str">
        <f>IF('Engagement Log'!G198="","",'Engagement Log'!G198)</f>
        <v/>
      </c>
      <c r="F193" s="70" t="str">
        <f>IF('Engagement Log'!N198="","",'Engagement Log'!N198)</f>
        <v/>
      </c>
      <c r="G193" s="70" t="str">
        <f>IF('Engagement Log'!C198="","",'Engagement Log'!C198)</f>
        <v/>
      </c>
      <c r="H193" s="71" t="str">
        <f>IF('Engagement Log'!P198="","",'Engagement Log'!P198)</f>
        <v/>
      </c>
      <c r="I193" s="71" t="str">
        <f>IF('Engagement Log'!Q198="","",'Engagement Log'!Q198)</f>
        <v/>
      </c>
      <c r="J193" s="72" t="str">
        <f>IF('Engagement Log'!L198="","",'Engagement Log'!L198)</f>
        <v/>
      </c>
    </row>
    <row r="194" spans="1:10" x14ac:dyDescent="0.3">
      <c r="A194" s="73" t="str">
        <f>IF('Engagement Log'!O199="","",'Engagement Log'!O199)</f>
        <v/>
      </c>
      <c r="B194" s="74" t="str">
        <f ca="1">IF('Engagement Log'!O199="","",'Engagement Log'!O199-TODAY())</f>
        <v/>
      </c>
      <c r="C194" s="75" t="str">
        <f>IF('Engagement Log'!B199="","",'Engagement Log'!B199)</f>
        <v/>
      </c>
      <c r="D194" s="75" t="str">
        <f>IF('Engagement Log'!D199="","",'Engagement Log'!D199)</f>
        <v/>
      </c>
      <c r="E194" s="75" t="str">
        <f>IF('Engagement Log'!G199="","",'Engagement Log'!G199)</f>
        <v/>
      </c>
      <c r="F194" s="75" t="str">
        <f>IF('Engagement Log'!N199="","",'Engagement Log'!N199)</f>
        <v/>
      </c>
      <c r="G194" s="75" t="str">
        <f>IF('Engagement Log'!C199="","",'Engagement Log'!C199)</f>
        <v/>
      </c>
      <c r="H194" s="76" t="str">
        <f>IF('Engagement Log'!P199="","",'Engagement Log'!P199)</f>
        <v/>
      </c>
      <c r="I194" s="76" t="str">
        <f>IF('Engagement Log'!Q199="","",'Engagement Log'!Q199)</f>
        <v/>
      </c>
      <c r="J194" s="77" t="str">
        <f>IF('Engagement Log'!L199="","",'Engagement Log'!L199)</f>
        <v/>
      </c>
    </row>
    <row r="195" spans="1:10" x14ac:dyDescent="0.3">
      <c r="A195" s="68" t="str">
        <f>IF('Engagement Log'!O200="","",'Engagement Log'!O200)</f>
        <v/>
      </c>
      <c r="B195" s="69" t="str">
        <f ca="1">IF('Engagement Log'!O200="","",'Engagement Log'!O200-TODAY())</f>
        <v/>
      </c>
      <c r="C195" s="70" t="str">
        <f>IF('Engagement Log'!B200="","",'Engagement Log'!B200)</f>
        <v/>
      </c>
      <c r="D195" s="70" t="str">
        <f>IF('Engagement Log'!D200="","",'Engagement Log'!D200)</f>
        <v/>
      </c>
      <c r="E195" s="70" t="str">
        <f>IF('Engagement Log'!G200="","",'Engagement Log'!G200)</f>
        <v/>
      </c>
      <c r="F195" s="70" t="str">
        <f>IF('Engagement Log'!N200="","",'Engagement Log'!N200)</f>
        <v/>
      </c>
      <c r="G195" s="70" t="str">
        <f>IF('Engagement Log'!C200="","",'Engagement Log'!C200)</f>
        <v/>
      </c>
      <c r="H195" s="71" t="str">
        <f>IF('Engagement Log'!P200="","",'Engagement Log'!P200)</f>
        <v/>
      </c>
      <c r="I195" s="71" t="str">
        <f>IF('Engagement Log'!Q200="","",'Engagement Log'!Q200)</f>
        <v/>
      </c>
      <c r="J195" s="72" t="str">
        <f>IF('Engagement Log'!L200="","",'Engagement Log'!L200)</f>
        <v/>
      </c>
    </row>
    <row r="196" spans="1:10" x14ac:dyDescent="0.3">
      <c r="A196" s="73" t="str">
        <f>IF('Engagement Log'!O201="","",'Engagement Log'!O201)</f>
        <v/>
      </c>
      <c r="B196" s="74" t="str">
        <f ca="1">IF('Engagement Log'!O201="","",'Engagement Log'!O201-TODAY())</f>
        <v/>
      </c>
      <c r="C196" s="75" t="str">
        <f>IF('Engagement Log'!B201="","",'Engagement Log'!B201)</f>
        <v/>
      </c>
      <c r="D196" s="75" t="str">
        <f>IF('Engagement Log'!D201="","",'Engagement Log'!D201)</f>
        <v/>
      </c>
      <c r="E196" s="75" t="str">
        <f>IF('Engagement Log'!G201="","",'Engagement Log'!G201)</f>
        <v/>
      </c>
      <c r="F196" s="75" t="str">
        <f>IF('Engagement Log'!N201="","",'Engagement Log'!N201)</f>
        <v/>
      </c>
      <c r="G196" s="75" t="str">
        <f>IF('Engagement Log'!C201="","",'Engagement Log'!C201)</f>
        <v/>
      </c>
      <c r="H196" s="76" t="str">
        <f>IF('Engagement Log'!P201="","",'Engagement Log'!P201)</f>
        <v/>
      </c>
      <c r="I196" s="76" t="str">
        <f>IF('Engagement Log'!Q201="","",'Engagement Log'!Q201)</f>
        <v/>
      </c>
      <c r="J196" s="77" t="str">
        <f>IF('Engagement Log'!L201="","",'Engagement Log'!L201)</f>
        <v/>
      </c>
    </row>
    <row r="197" spans="1:10" x14ac:dyDescent="0.3">
      <c r="A197" s="68" t="str">
        <f>IF('Engagement Log'!O202="","",'Engagement Log'!O202)</f>
        <v/>
      </c>
      <c r="B197" s="69" t="str">
        <f ca="1">IF('Engagement Log'!O202="","",'Engagement Log'!O202-TODAY())</f>
        <v/>
      </c>
      <c r="C197" s="70" t="str">
        <f>IF('Engagement Log'!B202="","",'Engagement Log'!B202)</f>
        <v/>
      </c>
      <c r="D197" s="70" t="str">
        <f>IF('Engagement Log'!D202="","",'Engagement Log'!D202)</f>
        <v/>
      </c>
      <c r="E197" s="70" t="str">
        <f>IF('Engagement Log'!G202="","",'Engagement Log'!G202)</f>
        <v/>
      </c>
      <c r="F197" s="70" t="str">
        <f>IF('Engagement Log'!N202="","",'Engagement Log'!N202)</f>
        <v/>
      </c>
      <c r="G197" s="70" t="str">
        <f>IF('Engagement Log'!C202="","",'Engagement Log'!C202)</f>
        <v/>
      </c>
      <c r="H197" s="71" t="str">
        <f>IF('Engagement Log'!P202="","",'Engagement Log'!P202)</f>
        <v/>
      </c>
      <c r="I197" s="71" t="str">
        <f>IF('Engagement Log'!Q202="","",'Engagement Log'!Q202)</f>
        <v/>
      </c>
      <c r="J197" s="72" t="str">
        <f>IF('Engagement Log'!L202="","",'Engagement Log'!L202)</f>
        <v/>
      </c>
    </row>
    <row r="198" spans="1:10" x14ac:dyDescent="0.3">
      <c r="A198" s="73" t="str">
        <f>IF('Engagement Log'!O203="","",'Engagement Log'!O203)</f>
        <v/>
      </c>
      <c r="B198" s="74" t="str">
        <f ca="1">IF('Engagement Log'!O203="","",'Engagement Log'!O203-TODAY())</f>
        <v/>
      </c>
      <c r="C198" s="75" t="str">
        <f>IF('Engagement Log'!B203="","",'Engagement Log'!B203)</f>
        <v/>
      </c>
      <c r="D198" s="75" t="str">
        <f>IF('Engagement Log'!D203="","",'Engagement Log'!D203)</f>
        <v/>
      </c>
      <c r="E198" s="75" t="str">
        <f>IF('Engagement Log'!G203="","",'Engagement Log'!G203)</f>
        <v/>
      </c>
      <c r="F198" s="75" t="str">
        <f>IF('Engagement Log'!N203="","",'Engagement Log'!N203)</f>
        <v/>
      </c>
      <c r="G198" s="75" t="str">
        <f>IF('Engagement Log'!C203="","",'Engagement Log'!C203)</f>
        <v/>
      </c>
      <c r="H198" s="76" t="str">
        <f>IF('Engagement Log'!P203="","",'Engagement Log'!P203)</f>
        <v/>
      </c>
      <c r="I198" s="76" t="str">
        <f>IF('Engagement Log'!Q203="","",'Engagement Log'!Q203)</f>
        <v/>
      </c>
      <c r="J198" s="77" t="str">
        <f>IF('Engagement Log'!L203="","",'Engagement Log'!L203)</f>
        <v/>
      </c>
    </row>
    <row r="199" spans="1:10" x14ac:dyDescent="0.3">
      <c r="A199" s="68" t="str">
        <f>IF('Engagement Log'!O204="","",'Engagement Log'!O204)</f>
        <v/>
      </c>
      <c r="B199" s="69" t="str">
        <f ca="1">IF('Engagement Log'!O204="","",'Engagement Log'!O204-TODAY())</f>
        <v/>
      </c>
      <c r="C199" s="70" t="str">
        <f>IF('Engagement Log'!B204="","",'Engagement Log'!B204)</f>
        <v/>
      </c>
      <c r="D199" s="70" t="str">
        <f>IF('Engagement Log'!D204="","",'Engagement Log'!D204)</f>
        <v/>
      </c>
      <c r="E199" s="70" t="str">
        <f>IF('Engagement Log'!G204="","",'Engagement Log'!G204)</f>
        <v/>
      </c>
      <c r="F199" s="70" t="str">
        <f>IF('Engagement Log'!N204="","",'Engagement Log'!N204)</f>
        <v/>
      </c>
      <c r="G199" s="70" t="str">
        <f>IF('Engagement Log'!C204="","",'Engagement Log'!C204)</f>
        <v/>
      </c>
      <c r="H199" s="71" t="str">
        <f>IF('Engagement Log'!P204="","",'Engagement Log'!P204)</f>
        <v/>
      </c>
      <c r="I199" s="71" t="str">
        <f>IF('Engagement Log'!Q204="","",'Engagement Log'!Q204)</f>
        <v/>
      </c>
      <c r="J199" s="72" t="str">
        <f>IF('Engagement Log'!L204="","",'Engagement Log'!L204)</f>
        <v/>
      </c>
    </row>
    <row r="200" spans="1:10" x14ac:dyDescent="0.3">
      <c r="A200" s="73" t="str">
        <f>IF('Engagement Log'!O205="","",'Engagement Log'!O205)</f>
        <v/>
      </c>
      <c r="B200" s="74" t="str">
        <f ca="1">IF('Engagement Log'!O205="","",'Engagement Log'!O205-TODAY())</f>
        <v/>
      </c>
      <c r="C200" s="75" t="str">
        <f>IF('Engagement Log'!B205="","",'Engagement Log'!B205)</f>
        <v/>
      </c>
      <c r="D200" s="75" t="str">
        <f>IF('Engagement Log'!D205="","",'Engagement Log'!D205)</f>
        <v/>
      </c>
      <c r="E200" s="75" t="str">
        <f>IF('Engagement Log'!G205="","",'Engagement Log'!G205)</f>
        <v/>
      </c>
      <c r="F200" s="75" t="str">
        <f>IF('Engagement Log'!N205="","",'Engagement Log'!N205)</f>
        <v/>
      </c>
      <c r="G200" s="75" t="str">
        <f>IF('Engagement Log'!C205="","",'Engagement Log'!C205)</f>
        <v/>
      </c>
      <c r="H200" s="76" t="str">
        <f>IF('Engagement Log'!P205="","",'Engagement Log'!P205)</f>
        <v/>
      </c>
      <c r="I200" s="76" t="str">
        <f>IF('Engagement Log'!Q205="","",'Engagement Log'!Q205)</f>
        <v/>
      </c>
      <c r="J200" s="77" t="str">
        <f>IF('Engagement Log'!L205="","",'Engagement Log'!L205)</f>
        <v/>
      </c>
    </row>
    <row r="201" spans="1:10" x14ac:dyDescent="0.3">
      <c r="A201" s="68" t="str">
        <f>IF('Engagement Log'!O206="","",'Engagement Log'!O206)</f>
        <v/>
      </c>
      <c r="B201" s="69" t="str">
        <f ca="1">IF('Engagement Log'!O206="","",'Engagement Log'!O206-TODAY())</f>
        <v/>
      </c>
      <c r="C201" s="70" t="str">
        <f>IF('Engagement Log'!B206="","",'Engagement Log'!B206)</f>
        <v/>
      </c>
      <c r="D201" s="70" t="str">
        <f>IF('Engagement Log'!D206="","",'Engagement Log'!D206)</f>
        <v/>
      </c>
      <c r="E201" s="70" t="str">
        <f>IF('Engagement Log'!G206="","",'Engagement Log'!G206)</f>
        <v/>
      </c>
      <c r="F201" s="70" t="str">
        <f>IF('Engagement Log'!N206="","",'Engagement Log'!N206)</f>
        <v/>
      </c>
      <c r="G201" s="70" t="str">
        <f>IF('Engagement Log'!C206="","",'Engagement Log'!C206)</f>
        <v/>
      </c>
      <c r="H201" s="71" t="str">
        <f>IF('Engagement Log'!P206="","",'Engagement Log'!P206)</f>
        <v/>
      </c>
      <c r="I201" s="71" t="str">
        <f>IF('Engagement Log'!Q206="","",'Engagement Log'!Q206)</f>
        <v/>
      </c>
      <c r="J201" s="72" t="str">
        <f>IF('Engagement Log'!L206="","",'Engagement Log'!L206)</f>
        <v/>
      </c>
    </row>
    <row r="202" spans="1:10" x14ac:dyDescent="0.3">
      <c r="A202" s="73" t="str">
        <f>IF('Engagement Log'!O207="","",'Engagement Log'!O207)</f>
        <v/>
      </c>
      <c r="B202" s="74" t="str">
        <f ca="1">IF('Engagement Log'!O207="","",'Engagement Log'!O207-TODAY())</f>
        <v/>
      </c>
      <c r="C202" s="75" t="str">
        <f>IF('Engagement Log'!B207="","",'Engagement Log'!B207)</f>
        <v/>
      </c>
      <c r="D202" s="75" t="str">
        <f>IF('Engagement Log'!D207="","",'Engagement Log'!D207)</f>
        <v/>
      </c>
      <c r="E202" s="75" t="str">
        <f>IF('Engagement Log'!G207="","",'Engagement Log'!G207)</f>
        <v/>
      </c>
      <c r="F202" s="75" t="str">
        <f>IF('Engagement Log'!N207="","",'Engagement Log'!N207)</f>
        <v/>
      </c>
      <c r="G202" s="75" t="str">
        <f>IF('Engagement Log'!C207="","",'Engagement Log'!C207)</f>
        <v/>
      </c>
      <c r="H202" s="76" t="str">
        <f>IF('Engagement Log'!P207="","",'Engagement Log'!P207)</f>
        <v/>
      </c>
      <c r="I202" s="76" t="str">
        <f>IF('Engagement Log'!Q207="","",'Engagement Log'!Q207)</f>
        <v/>
      </c>
      <c r="J202" s="77" t="str">
        <f>IF('Engagement Log'!L207="","",'Engagement Log'!L207)</f>
        <v/>
      </c>
    </row>
    <row r="203" spans="1:10" x14ac:dyDescent="0.3">
      <c r="A203" s="68" t="str">
        <f>IF('Engagement Log'!O208="","",'Engagement Log'!O208)</f>
        <v/>
      </c>
      <c r="B203" s="69" t="str">
        <f ca="1">IF('Engagement Log'!O208="","",'Engagement Log'!O208-TODAY())</f>
        <v/>
      </c>
      <c r="C203" s="70" t="str">
        <f>IF('Engagement Log'!B208="","",'Engagement Log'!B208)</f>
        <v/>
      </c>
      <c r="D203" s="70" t="str">
        <f>IF('Engagement Log'!D208="","",'Engagement Log'!D208)</f>
        <v/>
      </c>
      <c r="E203" s="70" t="str">
        <f>IF('Engagement Log'!G208="","",'Engagement Log'!G208)</f>
        <v/>
      </c>
      <c r="F203" s="70" t="str">
        <f>IF('Engagement Log'!N208="","",'Engagement Log'!N208)</f>
        <v/>
      </c>
      <c r="G203" s="70" t="str">
        <f>IF('Engagement Log'!C208="","",'Engagement Log'!C208)</f>
        <v/>
      </c>
      <c r="H203" s="71" t="str">
        <f>IF('Engagement Log'!P208="","",'Engagement Log'!P208)</f>
        <v/>
      </c>
      <c r="I203" s="71" t="str">
        <f>IF('Engagement Log'!Q208="","",'Engagement Log'!Q208)</f>
        <v/>
      </c>
      <c r="J203" s="72" t="str">
        <f>IF('Engagement Log'!L208="","",'Engagement Log'!L208)</f>
        <v/>
      </c>
    </row>
    <row r="204" spans="1:10" x14ac:dyDescent="0.3">
      <c r="A204" s="73" t="str">
        <f>IF('Engagement Log'!O209="","",'Engagement Log'!O209)</f>
        <v/>
      </c>
      <c r="B204" s="74" t="str">
        <f ca="1">IF('Engagement Log'!O209="","",'Engagement Log'!O209-TODAY())</f>
        <v/>
      </c>
      <c r="C204" s="75" t="str">
        <f>IF('Engagement Log'!B209="","",'Engagement Log'!B209)</f>
        <v/>
      </c>
      <c r="D204" s="75" t="str">
        <f>IF('Engagement Log'!D209="","",'Engagement Log'!D209)</f>
        <v/>
      </c>
      <c r="E204" s="75" t="str">
        <f>IF('Engagement Log'!G209="","",'Engagement Log'!G209)</f>
        <v/>
      </c>
      <c r="F204" s="75" t="str">
        <f>IF('Engagement Log'!N209="","",'Engagement Log'!N209)</f>
        <v/>
      </c>
      <c r="G204" s="75" t="str">
        <f>IF('Engagement Log'!C209="","",'Engagement Log'!C209)</f>
        <v/>
      </c>
      <c r="H204" s="76" t="str">
        <f>IF('Engagement Log'!P209="","",'Engagement Log'!P209)</f>
        <v/>
      </c>
      <c r="I204" s="76" t="str">
        <f>IF('Engagement Log'!Q209="","",'Engagement Log'!Q209)</f>
        <v/>
      </c>
      <c r="J204" s="77" t="str">
        <f>IF('Engagement Log'!L209="","",'Engagement Log'!L209)</f>
        <v/>
      </c>
    </row>
    <row r="205" spans="1:10" x14ac:dyDescent="0.3">
      <c r="A205" s="68" t="str">
        <f>IF('Engagement Log'!O210="","",'Engagement Log'!O210)</f>
        <v/>
      </c>
      <c r="B205" s="69" t="str">
        <f ca="1">IF('Engagement Log'!O210="","",'Engagement Log'!O210-TODAY())</f>
        <v/>
      </c>
      <c r="C205" s="70" t="str">
        <f>IF('Engagement Log'!B210="","",'Engagement Log'!B210)</f>
        <v/>
      </c>
      <c r="D205" s="70" t="str">
        <f>IF('Engagement Log'!D210="","",'Engagement Log'!D210)</f>
        <v/>
      </c>
      <c r="E205" s="70" t="str">
        <f>IF('Engagement Log'!G210="","",'Engagement Log'!G210)</f>
        <v/>
      </c>
      <c r="F205" s="70" t="str">
        <f>IF('Engagement Log'!N210="","",'Engagement Log'!N210)</f>
        <v/>
      </c>
      <c r="G205" s="70" t="str">
        <f>IF('Engagement Log'!C210="","",'Engagement Log'!C210)</f>
        <v/>
      </c>
      <c r="H205" s="71" t="str">
        <f>IF('Engagement Log'!P210="","",'Engagement Log'!P210)</f>
        <v/>
      </c>
      <c r="I205" s="71" t="str">
        <f>IF('Engagement Log'!Q210="","",'Engagement Log'!Q210)</f>
        <v/>
      </c>
      <c r="J205" s="72" t="str">
        <f>IF('Engagement Log'!L210="","",'Engagement Log'!L210)</f>
        <v/>
      </c>
    </row>
    <row r="206" spans="1:10" x14ac:dyDescent="0.3">
      <c r="A206" s="73" t="str">
        <f>IF('Engagement Log'!O211="","",'Engagement Log'!O211)</f>
        <v/>
      </c>
      <c r="B206" s="74" t="str">
        <f ca="1">IF('Engagement Log'!O211="","",'Engagement Log'!O211-TODAY())</f>
        <v/>
      </c>
      <c r="C206" s="75" t="str">
        <f>IF('Engagement Log'!B211="","",'Engagement Log'!B211)</f>
        <v/>
      </c>
      <c r="D206" s="75" t="str">
        <f>IF('Engagement Log'!D211="","",'Engagement Log'!D211)</f>
        <v/>
      </c>
      <c r="E206" s="75" t="str">
        <f>IF('Engagement Log'!G211="","",'Engagement Log'!G211)</f>
        <v/>
      </c>
      <c r="F206" s="75" t="str">
        <f>IF('Engagement Log'!N211="","",'Engagement Log'!N211)</f>
        <v/>
      </c>
      <c r="G206" s="75" t="str">
        <f>IF('Engagement Log'!C211="","",'Engagement Log'!C211)</f>
        <v/>
      </c>
      <c r="H206" s="76" t="str">
        <f>IF('Engagement Log'!P211="","",'Engagement Log'!P211)</f>
        <v/>
      </c>
      <c r="I206" s="76" t="str">
        <f>IF('Engagement Log'!Q211="","",'Engagement Log'!Q211)</f>
        <v/>
      </c>
      <c r="J206" s="77" t="str">
        <f>IF('Engagement Log'!L211="","",'Engagement Log'!L211)</f>
        <v/>
      </c>
    </row>
    <row r="207" spans="1:10" x14ac:dyDescent="0.3">
      <c r="A207" s="68" t="str">
        <f>IF('Engagement Log'!O212="","",'Engagement Log'!O212)</f>
        <v/>
      </c>
      <c r="B207" s="69" t="str">
        <f ca="1">IF('Engagement Log'!O212="","",'Engagement Log'!O212-TODAY())</f>
        <v/>
      </c>
      <c r="C207" s="70" t="str">
        <f>IF('Engagement Log'!B212="","",'Engagement Log'!B212)</f>
        <v/>
      </c>
      <c r="D207" s="70" t="str">
        <f>IF('Engagement Log'!D212="","",'Engagement Log'!D212)</f>
        <v/>
      </c>
      <c r="E207" s="70" t="str">
        <f>IF('Engagement Log'!G212="","",'Engagement Log'!G212)</f>
        <v/>
      </c>
      <c r="F207" s="70" t="str">
        <f>IF('Engagement Log'!N212="","",'Engagement Log'!N212)</f>
        <v/>
      </c>
      <c r="G207" s="70" t="str">
        <f>IF('Engagement Log'!C212="","",'Engagement Log'!C212)</f>
        <v/>
      </c>
      <c r="H207" s="71" t="str">
        <f>IF('Engagement Log'!P212="","",'Engagement Log'!P212)</f>
        <v/>
      </c>
      <c r="I207" s="71" t="str">
        <f>IF('Engagement Log'!Q212="","",'Engagement Log'!Q212)</f>
        <v/>
      </c>
      <c r="J207" s="72" t="str">
        <f>IF('Engagement Log'!L212="","",'Engagement Log'!L212)</f>
        <v/>
      </c>
    </row>
    <row r="208" spans="1:10" x14ac:dyDescent="0.3">
      <c r="A208" s="73" t="str">
        <f>IF('Engagement Log'!O213="","",'Engagement Log'!O213)</f>
        <v/>
      </c>
      <c r="B208" s="74" t="str">
        <f ca="1">IF('Engagement Log'!O213="","",'Engagement Log'!O213-TODAY())</f>
        <v/>
      </c>
      <c r="C208" s="75" t="str">
        <f>IF('Engagement Log'!B213="","",'Engagement Log'!B213)</f>
        <v/>
      </c>
      <c r="D208" s="75" t="str">
        <f>IF('Engagement Log'!D213="","",'Engagement Log'!D213)</f>
        <v/>
      </c>
      <c r="E208" s="75" t="str">
        <f>IF('Engagement Log'!G213="","",'Engagement Log'!G213)</f>
        <v/>
      </c>
      <c r="F208" s="75" t="str">
        <f>IF('Engagement Log'!N213="","",'Engagement Log'!N213)</f>
        <v/>
      </c>
      <c r="G208" s="75" t="str">
        <f>IF('Engagement Log'!C213="","",'Engagement Log'!C213)</f>
        <v/>
      </c>
      <c r="H208" s="76" t="str">
        <f>IF('Engagement Log'!P213="","",'Engagement Log'!P213)</f>
        <v/>
      </c>
      <c r="I208" s="76" t="str">
        <f>IF('Engagement Log'!Q213="","",'Engagement Log'!Q213)</f>
        <v/>
      </c>
      <c r="J208" s="77" t="str">
        <f>IF('Engagement Log'!L213="","",'Engagement Log'!L213)</f>
        <v/>
      </c>
    </row>
    <row r="209" spans="1:10" x14ac:dyDescent="0.3">
      <c r="A209" s="68" t="str">
        <f>IF('Engagement Log'!O214="","",'Engagement Log'!O214)</f>
        <v/>
      </c>
      <c r="B209" s="69" t="str">
        <f ca="1">IF('Engagement Log'!O214="","",'Engagement Log'!O214-TODAY())</f>
        <v/>
      </c>
      <c r="C209" s="70" t="str">
        <f>IF('Engagement Log'!B214="","",'Engagement Log'!B214)</f>
        <v/>
      </c>
      <c r="D209" s="70" t="str">
        <f>IF('Engagement Log'!D214="","",'Engagement Log'!D214)</f>
        <v/>
      </c>
      <c r="E209" s="70" t="str">
        <f>IF('Engagement Log'!G214="","",'Engagement Log'!G214)</f>
        <v/>
      </c>
      <c r="F209" s="70" t="str">
        <f>IF('Engagement Log'!N214="","",'Engagement Log'!N214)</f>
        <v/>
      </c>
      <c r="G209" s="70" t="str">
        <f>IF('Engagement Log'!C214="","",'Engagement Log'!C214)</f>
        <v/>
      </c>
      <c r="H209" s="71" t="str">
        <f>IF('Engagement Log'!P214="","",'Engagement Log'!P214)</f>
        <v/>
      </c>
      <c r="I209" s="71" t="str">
        <f>IF('Engagement Log'!Q214="","",'Engagement Log'!Q214)</f>
        <v/>
      </c>
      <c r="J209" s="72" t="str">
        <f>IF('Engagement Log'!L214="","",'Engagement Log'!L214)</f>
        <v/>
      </c>
    </row>
    <row r="210" spans="1:10" x14ac:dyDescent="0.3">
      <c r="A210" s="73" t="str">
        <f>IF('Engagement Log'!O215="","",'Engagement Log'!O215)</f>
        <v/>
      </c>
      <c r="B210" s="74" t="str">
        <f ca="1">IF('Engagement Log'!O215="","",'Engagement Log'!O215-TODAY())</f>
        <v/>
      </c>
      <c r="C210" s="75" t="str">
        <f>IF('Engagement Log'!B215="","",'Engagement Log'!B215)</f>
        <v/>
      </c>
      <c r="D210" s="75" t="str">
        <f>IF('Engagement Log'!D215="","",'Engagement Log'!D215)</f>
        <v/>
      </c>
      <c r="E210" s="75" t="str">
        <f>IF('Engagement Log'!G215="","",'Engagement Log'!G215)</f>
        <v/>
      </c>
      <c r="F210" s="75" t="str">
        <f>IF('Engagement Log'!N215="","",'Engagement Log'!N215)</f>
        <v/>
      </c>
      <c r="G210" s="75" t="str">
        <f>IF('Engagement Log'!C215="","",'Engagement Log'!C215)</f>
        <v/>
      </c>
      <c r="H210" s="76" t="str">
        <f>IF('Engagement Log'!P215="","",'Engagement Log'!P215)</f>
        <v/>
      </c>
      <c r="I210" s="76" t="str">
        <f>IF('Engagement Log'!Q215="","",'Engagement Log'!Q215)</f>
        <v/>
      </c>
      <c r="J210" s="77" t="str">
        <f>IF('Engagement Log'!L215="","",'Engagement Log'!L215)</f>
        <v/>
      </c>
    </row>
    <row r="211" spans="1:10" x14ac:dyDescent="0.3">
      <c r="A211" s="68" t="str">
        <f>IF('Engagement Log'!O216="","",'Engagement Log'!O216)</f>
        <v/>
      </c>
      <c r="B211" s="69" t="str">
        <f ca="1">IF('Engagement Log'!O216="","",'Engagement Log'!O216-TODAY())</f>
        <v/>
      </c>
      <c r="C211" s="70" t="str">
        <f>IF('Engagement Log'!B216="","",'Engagement Log'!B216)</f>
        <v/>
      </c>
      <c r="D211" s="70" t="str">
        <f>IF('Engagement Log'!D216="","",'Engagement Log'!D216)</f>
        <v/>
      </c>
      <c r="E211" s="70" t="str">
        <f>IF('Engagement Log'!G216="","",'Engagement Log'!G216)</f>
        <v/>
      </c>
      <c r="F211" s="70" t="str">
        <f>IF('Engagement Log'!N216="","",'Engagement Log'!N216)</f>
        <v/>
      </c>
      <c r="G211" s="70" t="str">
        <f>IF('Engagement Log'!C216="","",'Engagement Log'!C216)</f>
        <v/>
      </c>
      <c r="H211" s="71" t="str">
        <f>IF('Engagement Log'!P216="","",'Engagement Log'!P216)</f>
        <v/>
      </c>
      <c r="I211" s="71" t="str">
        <f>IF('Engagement Log'!Q216="","",'Engagement Log'!Q216)</f>
        <v/>
      </c>
      <c r="J211" s="72" t="str">
        <f>IF('Engagement Log'!L216="","",'Engagement Log'!L216)</f>
        <v/>
      </c>
    </row>
    <row r="212" spans="1:10" x14ac:dyDescent="0.3">
      <c r="A212" s="73" t="str">
        <f>IF('Engagement Log'!O217="","",'Engagement Log'!O217)</f>
        <v/>
      </c>
      <c r="B212" s="74" t="str">
        <f ca="1">IF('Engagement Log'!O217="","",'Engagement Log'!O217-TODAY())</f>
        <v/>
      </c>
      <c r="C212" s="75" t="str">
        <f>IF('Engagement Log'!B217="","",'Engagement Log'!B217)</f>
        <v/>
      </c>
      <c r="D212" s="75" t="str">
        <f>IF('Engagement Log'!D217="","",'Engagement Log'!D217)</f>
        <v/>
      </c>
      <c r="E212" s="75" t="str">
        <f>IF('Engagement Log'!G217="","",'Engagement Log'!G217)</f>
        <v/>
      </c>
      <c r="F212" s="75" t="str">
        <f>IF('Engagement Log'!N217="","",'Engagement Log'!N217)</f>
        <v/>
      </c>
      <c r="G212" s="75" t="str">
        <f>IF('Engagement Log'!C217="","",'Engagement Log'!C217)</f>
        <v/>
      </c>
      <c r="H212" s="76" t="str">
        <f>IF('Engagement Log'!P217="","",'Engagement Log'!P217)</f>
        <v/>
      </c>
      <c r="I212" s="76" t="str">
        <f>IF('Engagement Log'!Q217="","",'Engagement Log'!Q217)</f>
        <v/>
      </c>
      <c r="J212" s="77" t="str">
        <f>IF('Engagement Log'!L217="","",'Engagement Log'!L217)</f>
        <v/>
      </c>
    </row>
    <row r="213" spans="1:10" x14ac:dyDescent="0.3">
      <c r="A213" s="68" t="str">
        <f>IF('Engagement Log'!O218="","",'Engagement Log'!O218)</f>
        <v/>
      </c>
      <c r="B213" s="69" t="str">
        <f ca="1">IF('Engagement Log'!O218="","",'Engagement Log'!O218-TODAY())</f>
        <v/>
      </c>
      <c r="C213" s="70" t="str">
        <f>IF('Engagement Log'!B218="","",'Engagement Log'!B218)</f>
        <v/>
      </c>
      <c r="D213" s="70" t="str">
        <f>IF('Engagement Log'!D218="","",'Engagement Log'!D218)</f>
        <v/>
      </c>
      <c r="E213" s="70" t="str">
        <f>IF('Engagement Log'!G218="","",'Engagement Log'!G218)</f>
        <v/>
      </c>
      <c r="F213" s="70" t="str">
        <f>IF('Engagement Log'!N218="","",'Engagement Log'!N218)</f>
        <v/>
      </c>
      <c r="G213" s="70" t="str">
        <f>IF('Engagement Log'!C218="","",'Engagement Log'!C218)</f>
        <v/>
      </c>
      <c r="H213" s="71" t="str">
        <f>IF('Engagement Log'!P218="","",'Engagement Log'!P218)</f>
        <v/>
      </c>
      <c r="I213" s="71" t="str">
        <f>IF('Engagement Log'!Q218="","",'Engagement Log'!Q218)</f>
        <v/>
      </c>
      <c r="J213" s="72" t="str">
        <f>IF('Engagement Log'!L218="","",'Engagement Log'!L218)</f>
        <v/>
      </c>
    </row>
    <row r="214" spans="1:10" x14ac:dyDescent="0.3">
      <c r="A214" s="73" t="str">
        <f>IF('Engagement Log'!O219="","",'Engagement Log'!O219)</f>
        <v/>
      </c>
      <c r="B214" s="74" t="str">
        <f ca="1">IF('Engagement Log'!O219="","",'Engagement Log'!O219-TODAY())</f>
        <v/>
      </c>
      <c r="C214" s="75" t="str">
        <f>IF('Engagement Log'!B219="","",'Engagement Log'!B219)</f>
        <v/>
      </c>
      <c r="D214" s="75" t="str">
        <f>IF('Engagement Log'!D219="","",'Engagement Log'!D219)</f>
        <v/>
      </c>
      <c r="E214" s="75" t="str">
        <f>IF('Engagement Log'!G219="","",'Engagement Log'!G219)</f>
        <v/>
      </c>
      <c r="F214" s="75" t="str">
        <f>IF('Engagement Log'!N219="","",'Engagement Log'!N219)</f>
        <v/>
      </c>
      <c r="G214" s="75" t="str">
        <f>IF('Engagement Log'!C219="","",'Engagement Log'!C219)</f>
        <v/>
      </c>
      <c r="H214" s="76" t="str">
        <f>IF('Engagement Log'!P219="","",'Engagement Log'!P219)</f>
        <v/>
      </c>
      <c r="I214" s="76" t="str">
        <f>IF('Engagement Log'!Q219="","",'Engagement Log'!Q219)</f>
        <v/>
      </c>
      <c r="J214" s="77" t="str">
        <f>IF('Engagement Log'!L219="","",'Engagement Log'!L219)</f>
        <v/>
      </c>
    </row>
    <row r="215" spans="1:10" x14ac:dyDescent="0.3">
      <c r="A215" s="68" t="str">
        <f>IF('Engagement Log'!O220="","",'Engagement Log'!O220)</f>
        <v/>
      </c>
      <c r="B215" s="69" t="str">
        <f ca="1">IF('Engagement Log'!O220="","",'Engagement Log'!O220-TODAY())</f>
        <v/>
      </c>
      <c r="C215" s="70" t="str">
        <f>IF('Engagement Log'!B220="","",'Engagement Log'!B220)</f>
        <v/>
      </c>
      <c r="D215" s="70" t="str">
        <f>IF('Engagement Log'!D220="","",'Engagement Log'!D220)</f>
        <v/>
      </c>
      <c r="E215" s="70" t="str">
        <f>IF('Engagement Log'!G220="","",'Engagement Log'!G220)</f>
        <v/>
      </c>
      <c r="F215" s="70" t="str">
        <f>IF('Engagement Log'!N220="","",'Engagement Log'!N220)</f>
        <v/>
      </c>
      <c r="G215" s="70" t="str">
        <f>IF('Engagement Log'!C220="","",'Engagement Log'!C220)</f>
        <v/>
      </c>
      <c r="H215" s="71" t="str">
        <f>IF('Engagement Log'!P220="","",'Engagement Log'!P220)</f>
        <v/>
      </c>
      <c r="I215" s="71" t="str">
        <f>IF('Engagement Log'!Q220="","",'Engagement Log'!Q220)</f>
        <v/>
      </c>
      <c r="J215" s="72" t="str">
        <f>IF('Engagement Log'!L220="","",'Engagement Log'!L220)</f>
        <v/>
      </c>
    </row>
    <row r="216" spans="1:10" x14ac:dyDescent="0.3">
      <c r="A216" s="73" t="str">
        <f>IF('Engagement Log'!O221="","",'Engagement Log'!O221)</f>
        <v/>
      </c>
      <c r="B216" s="74" t="str">
        <f ca="1">IF('Engagement Log'!O221="","",'Engagement Log'!O221-TODAY())</f>
        <v/>
      </c>
      <c r="C216" s="75" t="str">
        <f>IF('Engagement Log'!B221="","",'Engagement Log'!B221)</f>
        <v/>
      </c>
      <c r="D216" s="75" t="str">
        <f>IF('Engagement Log'!D221="","",'Engagement Log'!D221)</f>
        <v/>
      </c>
      <c r="E216" s="75" t="str">
        <f>IF('Engagement Log'!G221="","",'Engagement Log'!G221)</f>
        <v/>
      </c>
      <c r="F216" s="75" t="str">
        <f>IF('Engagement Log'!N221="","",'Engagement Log'!N221)</f>
        <v/>
      </c>
      <c r="G216" s="75" t="str">
        <f>IF('Engagement Log'!C221="","",'Engagement Log'!C221)</f>
        <v/>
      </c>
      <c r="H216" s="76" t="str">
        <f>IF('Engagement Log'!P221="","",'Engagement Log'!P221)</f>
        <v/>
      </c>
      <c r="I216" s="76" t="str">
        <f>IF('Engagement Log'!Q221="","",'Engagement Log'!Q221)</f>
        <v/>
      </c>
      <c r="J216" s="77" t="str">
        <f>IF('Engagement Log'!L221="","",'Engagement Log'!L221)</f>
        <v/>
      </c>
    </row>
    <row r="217" spans="1:10" x14ac:dyDescent="0.3">
      <c r="A217" s="68" t="str">
        <f>IF('Engagement Log'!O222="","",'Engagement Log'!O222)</f>
        <v/>
      </c>
      <c r="B217" s="69" t="str">
        <f ca="1">IF('Engagement Log'!O222="","",'Engagement Log'!O222-TODAY())</f>
        <v/>
      </c>
      <c r="C217" s="70" t="str">
        <f>IF('Engagement Log'!B222="","",'Engagement Log'!B222)</f>
        <v/>
      </c>
      <c r="D217" s="70" t="str">
        <f>IF('Engagement Log'!D222="","",'Engagement Log'!D222)</f>
        <v/>
      </c>
      <c r="E217" s="70" t="str">
        <f>IF('Engagement Log'!G222="","",'Engagement Log'!G222)</f>
        <v/>
      </c>
      <c r="F217" s="70" t="str">
        <f>IF('Engagement Log'!N222="","",'Engagement Log'!N222)</f>
        <v/>
      </c>
      <c r="G217" s="70" t="str">
        <f>IF('Engagement Log'!C222="","",'Engagement Log'!C222)</f>
        <v/>
      </c>
      <c r="H217" s="71" t="str">
        <f>IF('Engagement Log'!P222="","",'Engagement Log'!P222)</f>
        <v/>
      </c>
      <c r="I217" s="71" t="str">
        <f>IF('Engagement Log'!Q222="","",'Engagement Log'!Q222)</f>
        <v/>
      </c>
      <c r="J217" s="72" t="str">
        <f>IF('Engagement Log'!L222="","",'Engagement Log'!L222)</f>
        <v/>
      </c>
    </row>
    <row r="218" spans="1:10" x14ac:dyDescent="0.3">
      <c r="A218" s="73" t="str">
        <f>IF('Engagement Log'!O223="","",'Engagement Log'!O223)</f>
        <v/>
      </c>
      <c r="B218" s="74" t="str">
        <f ca="1">IF('Engagement Log'!O223="","",'Engagement Log'!O223-TODAY())</f>
        <v/>
      </c>
      <c r="C218" s="75" t="str">
        <f>IF('Engagement Log'!B223="","",'Engagement Log'!B223)</f>
        <v/>
      </c>
      <c r="D218" s="75" t="str">
        <f>IF('Engagement Log'!D223="","",'Engagement Log'!D223)</f>
        <v/>
      </c>
      <c r="E218" s="75" t="str">
        <f>IF('Engagement Log'!G223="","",'Engagement Log'!G223)</f>
        <v/>
      </c>
      <c r="F218" s="75" t="str">
        <f>IF('Engagement Log'!N223="","",'Engagement Log'!N223)</f>
        <v/>
      </c>
      <c r="G218" s="75" t="str">
        <f>IF('Engagement Log'!C223="","",'Engagement Log'!C223)</f>
        <v/>
      </c>
      <c r="H218" s="76" t="str">
        <f>IF('Engagement Log'!P223="","",'Engagement Log'!P223)</f>
        <v/>
      </c>
      <c r="I218" s="76" t="str">
        <f>IF('Engagement Log'!Q223="","",'Engagement Log'!Q223)</f>
        <v/>
      </c>
      <c r="J218" s="77" t="str">
        <f>IF('Engagement Log'!L223="","",'Engagement Log'!L223)</f>
        <v/>
      </c>
    </row>
    <row r="219" spans="1:10" x14ac:dyDescent="0.3">
      <c r="A219" s="68" t="str">
        <f>IF('Engagement Log'!O224="","",'Engagement Log'!O224)</f>
        <v/>
      </c>
      <c r="B219" s="69" t="str">
        <f ca="1">IF('Engagement Log'!O224="","",'Engagement Log'!O224-TODAY())</f>
        <v/>
      </c>
      <c r="C219" s="70" t="str">
        <f>IF('Engagement Log'!B224="","",'Engagement Log'!B224)</f>
        <v/>
      </c>
      <c r="D219" s="70" t="str">
        <f>IF('Engagement Log'!D224="","",'Engagement Log'!D224)</f>
        <v/>
      </c>
      <c r="E219" s="70" t="str">
        <f>IF('Engagement Log'!G224="","",'Engagement Log'!G224)</f>
        <v/>
      </c>
      <c r="F219" s="70" t="str">
        <f>IF('Engagement Log'!N224="","",'Engagement Log'!N224)</f>
        <v/>
      </c>
      <c r="G219" s="70" t="str">
        <f>IF('Engagement Log'!C224="","",'Engagement Log'!C224)</f>
        <v/>
      </c>
      <c r="H219" s="71" t="str">
        <f>IF('Engagement Log'!P224="","",'Engagement Log'!P224)</f>
        <v/>
      </c>
      <c r="I219" s="71" t="str">
        <f>IF('Engagement Log'!Q224="","",'Engagement Log'!Q224)</f>
        <v/>
      </c>
      <c r="J219" s="72" t="str">
        <f>IF('Engagement Log'!L224="","",'Engagement Log'!L224)</f>
        <v/>
      </c>
    </row>
    <row r="220" spans="1:10" x14ac:dyDescent="0.3">
      <c r="A220" s="73" t="str">
        <f>IF('Engagement Log'!O225="","",'Engagement Log'!O225)</f>
        <v/>
      </c>
      <c r="B220" s="74" t="str">
        <f ca="1">IF('Engagement Log'!O225="","",'Engagement Log'!O225-TODAY())</f>
        <v/>
      </c>
      <c r="C220" s="75" t="str">
        <f>IF('Engagement Log'!B225="","",'Engagement Log'!B225)</f>
        <v/>
      </c>
      <c r="D220" s="75" t="str">
        <f>IF('Engagement Log'!D225="","",'Engagement Log'!D225)</f>
        <v/>
      </c>
      <c r="E220" s="75" t="str">
        <f>IF('Engagement Log'!G225="","",'Engagement Log'!G225)</f>
        <v/>
      </c>
      <c r="F220" s="75" t="str">
        <f>IF('Engagement Log'!N225="","",'Engagement Log'!N225)</f>
        <v/>
      </c>
      <c r="G220" s="75" t="str">
        <f>IF('Engagement Log'!C225="","",'Engagement Log'!C225)</f>
        <v/>
      </c>
      <c r="H220" s="76" t="str">
        <f>IF('Engagement Log'!P225="","",'Engagement Log'!P225)</f>
        <v/>
      </c>
      <c r="I220" s="76" t="str">
        <f>IF('Engagement Log'!Q225="","",'Engagement Log'!Q225)</f>
        <v/>
      </c>
      <c r="J220" s="77" t="str">
        <f>IF('Engagement Log'!L225="","",'Engagement Log'!L225)</f>
        <v/>
      </c>
    </row>
    <row r="221" spans="1:10" x14ac:dyDescent="0.3">
      <c r="A221" s="68" t="str">
        <f>IF('Engagement Log'!O226="","",'Engagement Log'!O226)</f>
        <v/>
      </c>
      <c r="B221" s="69" t="str">
        <f ca="1">IF('Engagement Log'!O226="","",'Engagement Log'!O226-TODAY())</f>
        <v/>
      </c>
      <c r="C221" s="70" t="str">
        <f>IF('Engagement Log'!B226="","",'Engagement Log'!B226)</f>
        <v/>
      </c>
      <c r="D221" s="70" t="str">
        <f>IF('Engagement Log'!D226="","",'Engagement Log'!D226)</f>
        <v/>
      </c>
      <c r="E221" s="70" t="str">
        <f>IF('Engagement Log'!G226="","",'Engagement Log'!G226)</f>
        <v/>
      </c>
      <c r="F221" s="70" t="str">
        <f>IF('Engagement Log'!N226="","",'Engagement Log'!N226)</f>
        <v/>
      </c>
      <c r="G221" s="70" t="str">
        <f>IF('Engagement Log'!C226="","",'Engagement Log'!C226)</f>
        <v/>
      </c>
      <c r="H221" s="71" t="str">
        <f>IF('Engagement Log'!P226="","",'Engagement Log'!P226)</f>
        <v/>
      </c>
      <c r="I221" s="71" t="str">
        <f>IF('Engagement Log'!Q226="","",'Engagement Log'!Q226)</f>
        <v/>
      </c>
      <c r="J221" s="72" t="str">
        <f>IF('Engagement Log'!L226="","",'Engagement Log'!L226)</f>
        <v/>
      </c>
    </row>
    <row r="222" spans="1:10" x14ac:dyDescent="0.3">
      <c r="A222" s="73" t="str">
        <f>IF('Engagement Log'!O227="","",'Engagement Log'!O227)</f>
        <v/>
      </c>
      <c r="B222" s="74" t="str">
        <f ca="1">IF('Engagement Log'!O227="","",'Engagement Log'!O227-TODAY())</f>
        <v/>
      </c>
      <c r="C222" s="75" t="str">
        <f>IF('Engagement Log'!B227="","",'Engagement Log'!B227)</f>
        <v/>
      </c>
      <c r="D222" s="75" t="str">
        <f>IF('Engagement Log'!D227="","",'Engagement Log'!D227)</f>
        <v/>
      </c>
      <c r="E222" s="75" t="str">
        <f>IF('Engagement Log'!G227="","",'Engagement Log'!G227)</f>
        <v/>
      </c>
      <c r="F222" s="75" t="str">
        <f>IF('Engagement Log'!N227="","",'Engagement Log'!N227)</f>
        <v/>
      </c>
      <c r="G222" s="75" t="str">
        <f>IF('Engagement Log'!C227="","",'Engagement Log'!C227)</f>
        <v/>
      </c>
      <c r="H222" s="76" t="str">
        <f>IF('Engagement Log'!P227="","",'Engagement Log'!P227)</f>
        <v/>
      </c>
      <c r="I222" s="76" t="str">
        <f>IF('Engagement Log'!Q227="","",'Engagement Log'!Q227)</f>
        <v/>
      </c>
      <c r="J222" s="77" t="str">
        <f>IF('Engagement Log'!L227="","",'Engagement Log'!L227)</f>
        <v/>
      </c>
    </row>
    <row r="223" spans="1:10" x14ac:dyDescent="0.3">
      <c r="A223" s="68" t="str">
        <f>IF('Engagement Log'!O228="","",'Engagement Log'!O228)</f>
        <v/>
      </c>
      <c r="B223" s="69" t="str">
        <f ca="1">IF('Engagement Log'!O228="","",'Engagement Log'!O228-TODAY())</f>
        <v/>
      </c>
      <c r="C223" s="70" t="str">
        <f>IF('Engagement Log'!B228="","",'Engagement Log'!B228)</f>
        <v/>
      </c>
      <c r="D223" s="70" t="str">
        <f>IF('Engagement Log'!D228="","",'Engagement Log'!D228)</f>
        <v/>
      </c>
      <c r="E223" s="70" t="str">
        <f>IF('Engagement Log'!G228="","",'Engagement Log'!G228)</f>
        <v/>
      </c>
      <c r="F223" s="70" t="str">
        <f>IF('Engagement Log'!N228="","",'Engagement Log'!N228)</f>
        <v/>
      </c>
      <c r="G223" s="70" t="str">
        <f>IF('Engagement Log'!C228="","",'Engagement Log'!C228)</f>
        <v/>
      </c>
      <c r="H223" s="71" t="str">
        <f>IF('Engagement Log'!P228="","",'Engagement Log'!P228)</f>
        <v/>
      </c>
      <c r="I223" s="71" t="str">
        <f>IF('Engagement Log'!Q228="","",'Engagement Log'!Q228)</f>
        <v/>
      </c>
      <c r="J223" s="72" t="str">
        <f>IF('Engagement Log'!L228="","",'Engagement Log'!L228)</f>
        <v/>
      </c>
    </row>
    <row r="224" spans="1:10" x14ac:dyDescent="0.3">
      <c r="A224" s="73" t="str">
        <f>IF('Engagement Log'!O229="","",'Engagement Log'!O229)</f>
        <v/>
      </c>
      <c r="B224" s="74" t="str">
        <f ca="1">IF('Engagement Log'!O229="","",'Engagement Log'!O229-TODAY())</f>
        <v/>
      </c>
      <c r="C224" s="75" t="str">
        <f>IF('Engagement Log'!B229="","",'Engagement Log'!B229)</f>
        <v/>
      </c>
      <c r="D224" s="75" t="str">
        <f>IF('Engagement Log'!D229="","",'Engagement Log'!D229)</f>
        <v/>
      </c>
      <c r="E224" s="75" t="str">
        <f>IF('Engagement Log'!G229="","",'Engagement Log'!G229)</f>
        <v/>
      </c>
      <c r="F224" s="75" t="str">
        <f>IF('Engagement Log'!N229="","",'Engagement Log'!N229)</f>
        <v/>
      </c>
      <c r="G224" s="75" t="str">
        <f>IF('Engagement Log'!C229="","",'Engagement Log'!C229)</f>
        <v/>
      </c>
      <c r="H224" s="76" t="str">
        <f>IF('Engagement Log'!P229="","",'Engagement Log'!P229)</f>
        <v/>
      </c>
      <c r="I224" s="76" t="str">
        <f>IF('Engagement Log'!Q229="","",'Engagement Log'!Q229)</f>
        <v/>
      </c>
      <c r="J224" s="77" t="str">
        <f>IF('Engagement Log'!L229="","",'Engagement Log'!L229)</f>
        <v/>
      </c>
    </row>
    <row r="225" spans="1:10" x14ac:dyDescent="0.3">
      <c r="A225" s="68" t="str">
        <f>IF('Engagement Log'!O230="","",'Engagement Log'!O230)</f>
        <v/>
      </c>
      <c r="B225" s="69" t="str">
        <f ca="1">IF('Engagement Log'!O230="","",'Engagement Log'!O230-TODAY())</f>
        <v/>
      </c>
      <c r="C225" s="70" t="str">
        <f>IF('Engagement Log'!B230="","",'Engagement Log'!B230)</f>
        <v/>
      </c>
      <c r="D225" s="70" t="str">
        <f>IF('Engagement Log'!D230="","",'Engagement Log'!D230)</f>
        <v/>
      </c>
      <c r="E225" s="70" t="str">
        <f>IF('Engagement Log'!G230="","",'Engagement Log'!G230)</f>
        <v/>
      </c>
      <c r="F225" s="70" t="str">
        <f>IF('Engagement Log'!N230="","",'Engagement Log'!N230)</f>
        <v/>
      </c>
      <c r="G225" s="70" t="str">
        <f>IF('Engagement Log'!C230="","",'Engagement Log'!C230)</f>
        <v/>
      </c>
      <c r="H225" s="71" t="str">
        <f>IF('Engagement Log'!P230="","",'Engagement Log'!P230)</f>
        <v/>
      </c>
      <c r="I225" s="71" t="str">
        <f>IF('Engagement Log'!Q230="","",'Engagement Log'!Q230)</f>
        <v/>
      </c>
      <c r="J225" s="72" t="str">
        <f>IF('Engagement Log'!L230="","",'Engagement Log'!L230)</f>
        <v/>
      </c>
    </row>
    <row r="226" spans="1:10" x14ac:dyDescent="0.3">
      <c r="A226" s="73" t="str">
        <f>IF('Engagement Log'!O231="","",'Engagement Log'!O231)</f>
        <v/>
      </c>
      <c r="B226" s="74" t="str">
        <f ca="1">IF('Engagement Log'!O231="","",'Engagement Log'!O231-TODAY())</f>
        <v/>
      </c>
      <c r="C226" s="75" t="str">
        <f>IF('Engagement Log'!B231="","",'Engagement Log'!B231)</f>
        <v/>
      </c>
      <c r="D226" s="75" t="str">
        <f>IF('Engagement Log'!D231="","",'Engagement Log'!D231)</f>
        <v/>
      </c>
      <c r="E226" s="75" t="str">
        <f>IF('Engagement Log'!G231="","",'Engagement Log'!G231)</f>
        <v/>
      </c>
      <c r="F226" s="75" t="str">
        <f>IF('Engagement Log'!N231="","",'Engagement Log'!N231)</f>
        <v/>
      </c>
      <c r="G226" s="75" t="str">
        <f>IF('Engagement Log'!C231="","",'Engagement Log'!C231)</f>
        <v/>
      </c>
      <c r="H226" s="76" t="str">
        <f>IF('Engagement Log'!P231="","",'Engagement Log'!P231)</f>
        <v/>
      </c>
      <c r="I226" s="76" t="str">
        <f>IF('Engagement Log'!Q231="","",'Engagement Log'!Q231)</f>
        <v/>
      </c>
      <c r="J226" s="77" t="str">
        <f>IF('Engagement Log'!L231="","",'Engagement Log'!L231)</f>
        <v/>
      </c>
    </row>
    <row r="227" spans="1:10" x14ac:dyDescent="0.3">
      <c r="A227" s="68" t="str">
        <f>IF('Engagement Log'!O232="","",'Engagement Log'!O232)</f>
        <v/>
      </c>
      <c r="B227" s="69" t="str">
        <f ca="1">IF('Engagement Log'!O232="","",'Engagement Log'!O232-TODAY())</f>
        <v/>
      </c>
      <c r="C227" s="70" t="str">
        <f>IF('Engagement Log'!B232="","",'Engagement Log'!B232)</f>
        <v/>
      </c>
      <c r="D227" s="70" t="str">
        <f>IF('Engagement Log'!D232="","",'Engagement Log'!D232)</f>
        <v/>
      </c>
      <c r="E227" s="70" t="str">
        <f>IF('Engagement Log'!G232="","",'Engagement Log'!G232)</f>
        <v/>
      </c>
      <c r="F227" s="70" t="str">
        <f>IF('Engagement Log'!N232="","",'Engagement Log'!N232)</f>
        <v/>
      </c>
      <c r="G227" s="70" t="str">
        <f>IF('Engagement Log'!C232="","",'Engagement Log'!C232)</f>
        <v/>
      </c>
      <c r="H227" s="71" t="str">
        <f>IF('Engagement Log'!P232="","",'Engagement Log'!P232)</f>
        <v/>
      </c>
      <c r="I227" s="71" t="str">
        <f>IF('Engagement Log'!Q232="","",'Engagement Log'!Q232)</f>
        <v/>
      </c>
      <c r="J227" s="72" t="str">
        <f>IF('Engagement Log'!L232="","",'Engagement Log'!L232)</f>
        <v/>
      </c>
    </row>
    <row r="228" spans="1:10" x14ac:dyDescent="0.3">
      <c r="A228" s="73" t="str">
        <f>IF('Engagement Log'!O233="","",'Engagement Log'!O233)</f>
        <v/>
      </c>
      <c r="B228" s="74" t="str">
        <f ca="1">IF('Engagement Log'!O233="","",'Engagement Log'!O233-TODAY())</f>
        <v/>
      </c>
      <c r="C228" s="75" t="str">
        <f>IF('Engagement Log'!B233="","",'Engagement Log'!B233)</f>
        <v/>
      </c>
      <c r="D228" s="75" t="str">
        <f>IF('Engagement Log'!D233="","",'Engagement Log'!D233)</f>
        <v/>
      </c>
      <c r="E228" s="75" t="str">
        <f>IF('Engagement Log'!G233="","",'Engagement Log'!G233)</f>
        <v/>
      </c>
      <c r="F228" s="75" t="str">
        <f>IF('Engagement Log'!N233="","",'Engagement Log'!N233)</f>
        <v/>
      </c>
      <c r="G228" s="75" t="str">
        <f>IF('Engagement Log'!C233="","",'Engagement Log'!C233)</f>
        <v/>
      </c>
      <c r="H228" s="76" t="str">
        <f>IF('Engagement Log'!P233="","",'Engagement Log'!P233)</f>
        <v/>
      </c>
      <c r="I228" s="76" t="str">
        <f>IF('Engagement Log'!Q233="","",'Engagement Log'!Q233)</f>
        <v/>
      </c>
      <c r="J228" s="77" t="str">
        <f>IF('Engagement Log'!L233="","",'Engagement Log'!L233)</f>
        <v/>
      </c>
    </row>
    <row r="229" spans="1:10" x14ac:dyDescent="0.3">
      <c r="A229" s="68" t="str">
        <f>IF('Engagement Log'!O234="","",'Engagement Log'!O234)</f>
        <v/>
      </c>
      <c r="B229" s="69" t="str">
        <f ca="1">IF('Engagement Log'!O234="","",'Engagement Log'!O234-TODAY())</f>
        <v/>
      </c>
      <c r="C229" s="70" t="str">
        <f>IF('Engagement Log'!B234="","",'Engagement Log'!B234)</f>
        <v/>
      </c>
      <c r="D229" s="70" t="str">
        <f>IF('Engagement Log'!D234="","",'Engagement Log'!D234)</f>
        <v/>
      </c>
      <c r="E229" s="70" t="str">
        <f>IF('Engagement Log'!G234="","",'Engagement Log'!G234)</f>
        <v/>
      </c>
      <c r="F229" s="70" t="str">
        <f>IF('Engagement Log'!N234="","",'Engagement Log'!N234)</f>
        <v/>
      </c>
      <c r="G229" s="70" t="str">
        <f>IF('Engagement Log'!C234="","",'Engagement Log'!C234)</f>
        <v/>
      </c>
      <c r="H229" s="71" t="str">
        <f>IF('Engagement Log'!P234="","",'Engagement Log'!P234)</f>
        <v/>
      </c>
      <c r="I229" s="71" t="str">
        <f>IF('Engagement Log'!Q234="","",'Engagement Log'!Q234)</f>
        <v/>
      </c>
      <c r="J229" s="72" t="str">
        <f>IF('Engagement Log'!L234="","",'Engagement Log'!L234)</f>
        <v/>
      </c>
    </row>
    <row r="230" spans="1:10" x14ac:dyDescent="0.3">
      <c r="A230" s="73" t="str">
        <f>IF('Engagement Log'!O235="","",'Engagement Log'!O235)</f>
        <v/>
      </c>
      <c r="B230" s="74" t="str">
        <f ca="1">IF('Engagement Log'!O235="","",'Engagement Log'!O235-TODAY())</f>
        <v/>
      </c>
      <c r="C230" s="75" t="str">
        <f>IF('Engagement Log'!B235="","",'Engagement Log'!B235)</f>
        <v/>
      </c>
      <c r="D230" s="75" t="str">
        <f>IF('Engagement Log'!D235="","",'Engagement Log'!D235)</f>
        <v/>
      </c>
      <c r="E230" s="75" t="str">
        <f>IF('Engagement Log'!G235="","",'Engagement Log'!G235)</f>
        <v/>
      </c>
      <c r="F230" s="75" t="str">
        <f>IF('Engagement Log'!N235="","",'Engagement Log'!N235)</f>
        <v/>
      </c>
      <c r="G230" s="75" t="str">
        <f>IF('Engagement Log'!C235="","",'Engagement Log'!C235)</f>
        <v/>
      </c>
      <c r="H230" s="76" t="str">
        <f>IF('Engagement Log'!P235="","",'Engagement Log'!P235)</f>
        <v/>
      </c>
      <c r="I230" s="76" t="str">
        <f>IF('Engagement Log'!Q235="","",'Engagement Log'!Q235)</f>
        <v/>
      </c>
      <c r="J230" s="77" t="str">
        <f>IF('Engagement Log'!L235="","",'Engagement Log'!L235)</f>
        <v/>
      </c>
    </row>
    <row r="231" spans="1:10" x14ac:dyDescent="0.3">
      <c r="A231" s="68" t="str">
        <f>IF('Engagement Log'!O236="","",'Engagement Log'!O236)</f>
        <v/>
      </c>
      <c r="B231" s="69" t="str">
        <f ca="1">IF('Engagement Log'!O236="","",'Engagement Log'!O236-TODAY())</f>
        <v/>
      </c>
      <c r="C231" s="70" t="str">
        <f>IF('Engagement Log'!B236="","",'Engagement Log'!B236)</f>
        <v/>
      </c>
      <c r="D231" s="70" t="str">
        <f>IF('Engagement Log'!D236="","",'Engagement Log'!D236)</f>
        <v/>
      </c>
      <c r="E231" s="70" t="str">
        <f>IF('Engagement Log'!G236="","",'Engagement Log'!G236)</f>
        <v/>
      </c>
      <c r="F231" s="70" t="str">
        <f>IF('Engagement Log'!N236="","",'Engagement Log'!N236)</f>
        <v/>
      </c>
      <c r="G231" s="70" t="str">
        <f>IF('Engagement Log'!C236="","",'Engagement Log'!C236)</f>
        <v/>
      </c>
      <c r="H231" s="71" t="str">
        <f>IF('Engagement Log'!P236="","",'Engagement Log'!P236)</f>
        <v/>
      </c>
      <c r="I231" s="71" t="str">
        <f>IF('Engagement Log'!Q236="","",'Engagement Log'!Q236)</f>
        <v/>
      </c>
      <c r="J231" s="72" t="str">
        <f>IF('Engagement Log'!L236="","",'Engagement Log'!L236)</f>
        <v/>
      </c>
    </row>
    <row r="232" spans="1:10" x14ac:dyDescent="0.3">
      <c r="A232" s="73" t="str">
        <f>IF('Engagement Log'!O237="","",'Engagement Log'!O237)</f>
        <v/>
      </c>
      <c r="B232" s="74" t="str">
        <f ca="1">IF('Engagement Log'!O237="","",'Engagement Log'!O237-TODAY())</f>
        <v/>
      </c>
      <c r="C232" s="75" t="str">
        <f>IF('Engagement Log'!B237="","",'Engagement Log'!B237)</f>
        <v/>
      </c>
      <c r="D232" s="75" t="str">
        <f>IF('Engagement Log'!D237="","",'Engagement Log'!D237)</f>
        <v/>
      </c>
      <c r="E232" s="75" t="str">
        <f>IF('Engagement Log'!G237="","",'Engagement Log'!G237)</f>
        <v/>
      </c>
      <c r="F232" s="75" t="str">
        <f>IF('Engagement Log'!N237="","",'Engagement Log'!N237)</f>
        <v/>
      </c>
      <c r="G232" s="75" t="str">
        <f>IF('Engagement Log'!C237="","",'Engagement Log'!C237)</f>
        <v/>
      </c>
      <c r="H232" s="76" t="str">
        <f>IF('Engagement Log'!P237="","",'Engagement Log'!P237)</f>
        <v/>
      </c>
      <c r="I232" s="76" t="str">
        <f>IF('Engagement Log'!Q237="","",'Engagement Log'!Q237)</f>
        <v/>
      </c>
      <c r="J232" s="77" t="str">
        <f>IF('Engagement Log'!L237="","",'Engagement Log'!L237)</f>
        <v/>
      </c>
    </row>
    <row r="233" spans="1:10" x14ac:dyDescent="0.3">
      <c r="A233" s="68" t="str">
        <f>IF('Engagement Log'!O238="","",'Engagement Log'!O238)</f>
        <v/>
      </c>
      <c r="B233" s="69" t="str">
        <f ca="1">IF('Engagement Log'!O238="","",'Engagement Log'!O238-TODAY())</f>
        <v/>
      </c>
      <c r="C233" s="70" t="str">
        <f>IF('Engagement Log'!B238="","",'Engagement Log'!B238)</f>
        <v/>
      </c>
      <c r="D233" s="70" t="str">
        <f>IF('Engagement Log'!D238="","",'Engagement Log'!D238)</f>
        <v/>
      </c>
      <c r="E233" s="70" t="str">
        <f>IF('Engagement Log'!G238="","",'Engagement Log'!G238)</f>
        <v/>
      </c>
      <c r="F233" s="70" t="str">
        <f>IF('Engagement Log'!N238="","",'Engagement Log'!N238)</f>
        <v/>
      </c>
      <c r="G233" s="70" t="str">
        <f>IF('Engagement Log'!C238="","",'Engagement Log'!C238)</f>
        <v/>
      </c>
      <c r="H233" s="71" t="str">
        <f>IF('Engagement Log'!P238="","",'Engagement Log'!P238)</f>
        <v/>
      </c>
      <c r="I233" s="71" t="str">
        <f>IF('Engagement Log'!Q238="","",'Engagement Log'!Q238)</f>
        <v/>
      </c>
      <c r="J233" s="72" t="str">
        <f>IF('Engagement Log'!L238="","",'Engagement Log'!L238)</f>
        <v/>
      </c>
    </row>
    <row r="234" spans="1:10" x14ac:dyDescent="0.3">
      <c r="A234" s="73" t="str">
        <f>IF('Engagement Log'!O239="","",'Engagement Log'!O239)</f>
        <v/>
      </c>
      <c r="B234" s="74" t="str">
        <f ca="1">IF('Engagement Log'!O239="","",'Engagement Log'!O239-TODAY())</f>
        <v/>
      </c>
      <c r="C234" s="75" t="str">
        <f>IF('Engagement Log'!B239="","",'Engagement Log'!B239)</f>
        <v/>
      </c>
      <c r="D234" s="75" t="str">
        <f>IF('Engagement Log'!D239="","",'Engagement Log'!D239)</f>
        <v/>
      </c>
      <c r="E234" s="75" t="str">
        <f>IF('Engagement Log'!G239="","",'Engagement Log'!G239)</f>
        <v/>
      </c>
      <c r="F234" s="75" t="str">
        <f>IF('Engagement Log'!N239="","",'Engagement Log'!N239)</f>
        <v/>
      </c>
      <c r="G234" s="75" t="str">
        <f>IF('Engagement Log'!C239="","",'Engagement Log'!C239)</f>
        <v/>
      </c>
      <c r="H234" s="76" t="str">
        <f>IF('Engagement Log'!P239="","",'Engagement Log'!P239)</f>
        <v/>
      </c>
      <c r="I234" s="76" t="str">
        <f>IF('Engagement Log'!Q239="","",'Engagement Log'!Q239)</f>
        <v/>
      </c>
      <c r="J234" s="77" t="str">
        <f>IF('Engagement Log'!L239="","",'Engagement Log'!L239)</f>
        <v/>
      </c>
    </row>
    <row r="235" spans="1:10" x14ac:dyDescent="0.3">
      <c r="A235" s="68" t="str">
        <f>IF('Engagement Log'!O240="","",'Engagement Log'!O240)</f>
        <v/>
      </c>
      <c r="B235" s="69" t="str">
        <f ca="1">IF('Engagement Log'!O240="","",'Engagement Log'!O240-TODAY())</f>
        <v/>
      </c>
      <c r="C235" s="70" t="str">
        <f>IF('Engagement Log'!B240="","",'Engagement Log'!B240)</f>
        <v/>
      </c>
      <c r="D235" s="70" t="str">
        <f>IF('Engagement Log'!D240="","",'Engagement Log'!D240)</f>
        <v/>
      </c>
      <c r="E235" s="70" t="str">
        <f>IF('Engagement Log'!G240="","",'Engagement Log'!G240)</f>
        <v/>
      </c>
      <c r="F235" s="70" t="str">
        <f>IF('Engagement Log'!N240="","",'Engagement Log'!N240)</f>
        <v/>
      </c>
      <c r="G235" s="70" t="str">
        <f>IF('Engagement Log'!C240="","",'Engagement Log'!C240)</f>
        <v/>
      </c>
      <c r="H235" s="71" t="str">
        <f>IF('Engagement Log'!P240="","",'Engagement Log'!P240)</f>
        <v/>
      </c>
      <c r="I235" s="71" t="str">
        <f>IF('Engagement Log'!Q240="","",'Engagement Log'!Q240)</f>
        <v/>
      </c>
      <c r="J235" s="72" t="str">
        <f>IF('Engagement Log'!L240="","",'Engagement Log'!L240)</f>
        <v/>
      </c>
    </row>
    <row r="236" spans="1:10" x14ac:dyDescent="0.3">
      <c r="A236" s="73" t="str">
        <f>IF('Engagement Log'!O241="","",'Engagement Log'!O241)</f>
        <v/>
      </c>
      <c r="B236" s="74" t="str">
        <f ca="1">IF('Engagement Log'!O241="","",'Engagement Log'!O241-TODAY())</f>
        <v/>
      </c>
      <c r="C236" s="75" t="str">
        <f>IF('Engagement Log'!B241="","",'Engagement Log'!B241)</f>
        <v/>
      </c>
      <c r="D236" s="75" t="str">
        <f>IF('Engagement Log'!D241="","",'Engagement Log'!D241)</f>
        <v/>
      </c>
      <c r="E236" s="75" t="str">
        <f>IF('Engagement Log'!G241="","",'Engagement Log'!G241)</f>
        <v/>
      </c>
      <c r="F236" s="75" t="str">
        <f>IF('Engagement Log'!N241="","",'Engagement Log'!N241)</f>
        <v/>
      </c>
      <c r="G236" s="75" t="str">
        <f>IF('Engagement Log'!C241="","",'Engagement Log'!C241)</f>
        <v/>
      </c>
      <c r="H236" s="76" t="str">
        <f>IF('Engagement Log'!P241="","",'Engagement Log'!P241)</f>
        <v/>
      </c>
      <c r="I236" s="76" t="str">
        <f>IF('Engagement Log'!Q241="","",'Engagement Log'!Q241)</f>
        <v/>
      </c>
      <c r="J236" s="77" t="str">
        <f>IF('Engagement Log'!L241="","",'Engagement Log'!L241)</f>
        <v/>
      </c>
    </row>
    <row r="237" spans="1:10" x14ac:dyDescent="0.3">
      <c r="A237" s="68" t="str">
        <f>IF('Engagement Log'!O242="","",'Engagement Log'!O242)</f>
        <v/>
      </c>
      <c r="B237" s="69" t="str">
        <f ca="1">IF('Engagement Log'!O242="","",'Engagement Log'!O242-TODAY())</f>
        <v/>
      </c>
      <c r="C237" s="70" t="str">
        <f>IF('Engagement Log'!B242="","",'Engagement Log'!B242)</f>
        <v/>
      </c>
      <c r="D237" s="70" t="str">
        <f>IF('Engagement Log'!D242="","",'Engagement Log'!D242)</f>
        <v/>
      </c>
      <c r="E237" s="70" t="str">
        <f>IF('Engagement Log'!G242="","",'Engagement Log'!G242)</f>
        <v/>
      </c>
      <c r="F237" s="70" t="str">
        <f>IF('Engagement Log'!N242="","",'Engagement Log'!N242)</f>
        <v/>
      </c>
      <c r="G237" s="70" t="str">
        <f>IF('Engagement Log'!C242="","",'Engagement Log'!C242)</f>
        <v/>
      </c>
      <c r="H237" s="71" t="str">
        <f>IF('Engagement Log'!P242="","",'Engagement Log'!P242)</f>
        <v/>
      </c>
      <c r="I237" s="71" t="str">
        <f>IF('Engagement Log'!Q242="","",'Engagement Log'!Q242)</f>
        <v/>
      </c>
      <c r="J237" s="72" t="str">
        <f>IF('Engagement Log'!L242="","",'Engagement Log'!L242)</f>
        <v/>
      </c>
    </row>
    <row r="238" spans="1:10" x14ac:dyDescent="0.3">
      <c r="A238" s="73" t="str">
        <f>IF('Engagement Log'!O243="","",'Engagement Log'!O243)</f>
        <v/>
      </c>
      <c r="B238" s="74" t="str">
        <f ca="1">IF('Engagement Log'!O243="","",'Engagement Log'!O243-TODAY())</f>
        <v/>
      </c>
      <c r="C238" s="75" t="str">
        <f>IF('Engagement Log'!B243="","",'Engagement Log'!B243)</f>
        <v/>
      </c>
      <c r="D238" s="75" t="str">
        <f>IF('Engagement Log'!D243="","",'Engagement Log'!D243)</f>
        <v/>
      </c>
      <c r="E238" s="75" t="str">
        <f>IF('Engagement Log'!G243="","",'Engagement Log'!G243)</f>
        <v/>
      </c>
      <c r="F238" s="75" t="str">
        <f>IF('Engagement Log'!N243="","",'Engagement Log'!N243)</f>
        <v/>
      </c>
      <c r="G238" s="75" t="str">
        <f>IF('Engagement Log'!C243="","",'Engagement Log'!C243)</f>
        <v/>
      </c>
      <c r="H238" s="76" t="str">
        <f>IF('Engagement Log'!P243="","",'Engagement Log'!P243)</f>
        <v/>
      </c>
      <c r="I238" s="76" t="str">
        <f>IF('Engagement Log'!Q243="","",'Engagement Log'!Q243)</f>
        <v/>
      </c>
      <c r="J238" s="77" t="str">
        <f>IF('Engagement Log'!L243="","",'Engagement Log'!L243)</f>
        <v/>
      </c>
    </row>
    <row r="239" spans="1:10" x14ac:dyDescent="0.3">
      <c r="A239" s="68" t="str">
        <f>IF('Engagement Log'!O244="","",'Engagement Log'!O244)</f>
        <v/>
      </c>
      <c r="B239" s="69" t="str">
        <f ca="1">IF('Engagement Log'!O244="","",'Engagement Log'!O244-TODAY())</f>
        <v/>
      </c>
      <c r="C239" s="70" t="str">
        <f>IF('Engagement Log'!B244="","",'Engagement Log'!B244)</f>
        <v/>
      </c>
      <c r="D239" s="70" t="str">
        <f>IF('Engagement Log'!D244="","",'Engagement Log'!D244)</f>
        <v/>
      </c>
      <c r="E239" s="70" t="str">
        <f>IF('Engagement Log'!G244="","",'Engagement Log'!G244)</f>
        <v/>
      </c>
      <c r="F239" s="70" t="str">
        <f>IF('Engagement Log'!N244="","",'Engagement Log'!N244)</f>
        <v/>
      </c>
      <c r="G239" s="70" t="str">
        <f>IF('Engagement Log'!C244="","",'Engagement Log'!C244)</f>
        <v/>
      </c>
      <c r="H239" s="71" t="str">
        <f>IF('Engagement Log'!P244="","",'Engagement Log'!P244)</f>
        <v/>
      </c>
      <c r="I239" s="71" t="str">
        <f>IF('Engagement Log'!Q244="","",'Engagement Log'!Q244)</f>
        <v/>
      </c>
      <c r="J239" s="72" t="str">
        <f>IF('Engagement Log'!L244="","",'Engagement Log'!L244)</f>
        <v/>
      </c>
    </row>
    <row r="240" spans="1:10" x14ac:dyDescent="0.3">
      <c r="A240" s="73" t="str">
        <f>IF('Engagement Log'!O245="","",'Engagement Log'!O245)</f>
        <v/>
      </c>
      <c r="B240" s="74" t="str">
        <f ca="1">IF('Engagement Log'!O245="","",'Engagement Log'!O245-TODAY())</f>
        <v/>
      </c>
      <c r="C240" s="75" t="str">
        <f>IF('Engagement Log'!B245="","",'Engagement Log'!B245)</f>
        <v/>
      </c>
      <c r="D240" s="75" t="str">
        <f>IF('Engagement Log'!D245="","",'Engagement Log'!D245)</f>
        <v/>
      </c>
      <c r="E240" s="75" t="str">
        <f>IF('Engagement Log'!G245="","",'Engagement Log'!G245)</f>
        <v/>
      </c>
      <c r="F240" s="75" t="str">
        <f>IF('Engagement Log'!N245="","",'Engagement Log'!N245)</f>
        <v/>
      </c>
      <c r="G240" s="75" t="str">
        <f>IF('Engagement Log'!C245="","",'Engagement Log'!C245)</f>
        <v/>
      </c>
      <c r="H240" s="76" t="str">
        <f>IF('Engagement Log'!P245="","",'Engagement Log'!P245)</f>
        <v/>
      </c>
      <c r="I240" s="76" t="str">
        <f>IF('Engagement Log'!Q245="","",'Engagement Log'!Q245)</f>
        <v/>
      </c>
      <c r="J240" s="77" t="str">
        <f>IF('Engagement Log'!L245="","",'Engagement Log'!L245)</f>
        <v/>
      </c>
    </row>
    <row r="241" spans="1:10" x14ac:dyDescent="0.3">
      <c r="A241" s="68" t="str">
        <f>IF('Engagement Log'!O246="","",'Engagement Log'!O246)</f>
        <v/>
      </c>
      <c r="B241" s="69" t="str">
        <f ca="1">IF('Engagement Log'!O246="","",'Engagement Log'!O246-TODAY())</f>
        <v/>
      </c>
      <c r="C241" s="70" t="str">
        <f>IF('Engagement Log'!B246="","",'Engagement Log'!B246)</f>
        <v/>
      </c>
      <c r="D241" s="70" t="str">
        <f>IF('Engagement Log'!D246="","",'Engagement Log'!D246)</f>
        <v/>
      </c>
      <c r="E241" s="70" t="str">
        <f>IF('Engagement Log'!G246="","",'Engagement Log'!G246)</f>
        <v/>
      </c>
      <c r="F241" s="70" t="str">
        <f>IF('Engagement Log'!N246="","",'Engagement Log'!N246)</f>
        <v/>
      </c>
      <c r="G241" s="70" t="str">
        <f>IF('Engagement Log'!C246="","",'Engagement Log'!C246)</f>
        <v/>
      </c>
      <c r="H241" s="71" t="str">
        <f>IF('Engagement Log'!P246="","",'Engagement Log'!P246)</f>
        <v/>
      </c>
      <c r="I241" s="71" t="str">
        <f>IF('Engagement Log'!Q246="","",'Engagement Log'!Q246)</f>
        <v/>
      </c>
      <c r="J241" s="72" t="str">
        <f>IF('Engagement Log'!L246="","",'Engagement Log'!L246)</f>
        <v/>
      </c>
    </row>
    <row r="242" spans="1:10" x14ac:dyDescent="0.3">
      <c r="A242" s="73" t="str">
        <f>IF('Engagement Log'!O247="","",'Engagement Log'!O247)</f>
        <v/>
      </c>
      <c r="B242" s="74" t="str">
        <f ca="1">IF('Engagement Log'!O247="","",'Engagement Log'!O247-TODAY())</f>
        <v/>
      </c>
      <c r="C242" s="75" t="str">
        <f>IF('Engagement Log'!B247="","",'Engagement Log'!B247)</f>
        <v/>
      </c>
      <c r="D242" s="75" t="str">
        <f>IF('Engagement Log'!D247="","",'Engagement Log'!D247)</f>
        <v/>
      </c>
      <c r="E242" s="75" t="str">
        <f>IF('Engagement Log'!G247="","",'Engagement Log'!G247)</f>
        <v/>
      </c>
      <c r="F242" s="75" t="str">
        <f>IF('Engagement Log'!N247="","",'Engagement Log'!N247)</f>
        <v/>
      </c>
      <c r="G242" s="75" t="str">
        <f>IF('Engagement Log'!C247="","",'Engagement Log'!C247)</f>
        <v/>
      </c>
      <c r="H242" s="76" t="str">
        <f>IF('Engagement Log'!P247="","",'Engagement Log'!P247)</f>
        <v/>
      </c>
      <c r="I242" s="76" t="str">
        <f>IF('Engagement Log'!Q247="","",'Engagement Log'!Q247)</f>
        <v/>
      </c>
      <c r="J242" s="77" t="str">
        <f>IF('Engagement Log'!L247="","",'Engagement Log'!L247)</f>
        <v/>
      </c>
    </row>
    <row r="243" spans="1:10" x14ac:dyDescent="0.3">
      <c r="A243" s="68" t="str">
        <f>IF('Engagement Log'!O248="","",'Engagement Log'!O248)</f>
        <v/>
      </c>
      <c r="B243" s="69" t="str">
        <f ca="1">IF('Engagement Log'!O248="","",'Engagement Log'!O248-TODAY())</f>
        <v/>
      </c>
      <c r="C243" s="70" t="str">
        <f>IF('Engagement Log'!B248="","",'Engagement Log'!B248)</f>
        <v/>
      </c>
      <c r="D243" s="70" t="str">
        <f>IF('Engagement Log'!D248="","",'Engagement Log'!D248)</f>
        <v/>
      </c>
      <c r="E243" s="70" t="str">
        <f>IF('Engagement Log'!G248="","",'Engagement Log'!G248)</f>
        <v/>
      </c>
      <c r="F243" s="70" t="str">
        <f>IF('Engagement Log'!N248="","",'Engagement Log'!N248)</f>
        <v/>
      </c>
      <c r="G243" s="70" t="str">
        <f>IF('Engagement Log'!C248="","",'Engagement Log'!C248)</f>
        <v/>
      </c>
      <c r="H243" s="71" t="str">
        <f>IF('Engagement Log'!P248="","",'Engagement Log'!P248)</f>
        <v/>
      </c>
      <c r="I243" s="71" t="str">
        <f>IF('Engagement Log'!Q248="","",'Engagement Log'!Q248)</f>
        <v/>
      </c>
      <c r="J243" s="72" t="str">
        <f>IF('Engagement Log'!L248="","",'Engagement Log'!L248)</f>
        <v/>
      </c>
    </row>
    <row r="244" spans="1:10" x14ac:dyDescent="0.3">
      <c r="A244" s="73" t="str">
        <f>IF('Engagement Log'!O249="","",'Engagement Log'!O249)</f>
        <v/>
      </c>
      <c r="B244" s="74" t="str">
        <f ca="1">IF('Engagement Log'!O249="","",'Engagement Log'!O249-TODAY())</f>
        <v/>
      </c>
      <c r="C244" s="75" t="str">
        <f>IF('Engagement Log'!B249="","",'Engagement Log'!B249)</f>
        <v/>
      </c>
      <c r="D244" s="75" t="str">
        <f>IF('Engagement Log'!D249="","",'Engagement Log'!D249)</f>
        <v/>
      </c>
      <c r="E244" s="75" t="str">
        <f>IF('Engagement Log'!G249="","",'Engagement Log'!G249)</f>
        <v/>
      </c>
      <c r="F244" s="75" t="str">
        <f>IF('Engagement Log'!N249="","",'Engagement Log'!N249)</f>
        <v/>
      </c>
      <c r="G244" s="75" t="str">
        <f>IF('Engagement Log'!C249="","",'Engagement Log'!C249)</f>
        <v/>
      </c>
      <c r="H244" s="76" t="str">
        <f>IF('Engagement Log'!P249="","",'Engagement Log'!P249)</f>
        <v/>
      </c>
      <c r="I244" s="76" t="str">
        <f>IF('Engagement Log'!Q249="","",'Engagement Log'!Q249)</f>
        <v/>
      </c>
      <c r="J244" s="77" t="str">
        <f>IF('Engagement Log'!L249="","",'Engagement Log'!L249)</f>
        <v/>
      </c>
    </row>
    <row r="245" spans="1:10" x14ac:dyDescent="0.3">
      <c r="A245" s="68" t="str">
        <f>IF('Engagement Log'!O250="","",'Engagement Log'!O250)</f>
        <v/>
      </c>
      <c r="B245" s="69" t="str">
        <f ca="1">IF('Engagement Log'!O250="","",'Engagement Log'!O250-TODAY())</f>
        <v/>
      </c>
      <c r="C245" s="70" t="str">
        <f>IF('Engagement Log'!B250="","",'Engagement Log'!B250)</f>
        <v/>
      </c>
      <c r="D245" s="70" t="str">
        <f>IF('Engagement Log'!D250="","",'Engagement Log'!D250)</f>
        <v/>
      </c>
      <c r="E245" s="70" t="str">
        <f>IF('Engagement Log'!G250="","",'Engagement Log'!G250)</f>
        <v/>
      </c>
      <c r="F245" s="70" t="str">
        <f>IF('Engagement Log'!N250="","",'Engagement Log'!N250)</f>
        <v/>
      </c>
      <c r="G245" s="70" t="str">
        <f>IF('Engagement Log'!C250="","",'Engagement Log'!C250)</f>
        <v/>
      </c>
      <c r="H245" s="71" t="str">
        <f>IF('Engagement Log'!P250="","",'Engagement Log'!P250)</f>
        <v/>
      </c>
      <c r="I245" s="71" t="str">
        <f>IF('Engagement Log'!Q250="","",'Engagement Log'!Q250)</f>
        <v/>
      </c>
      <c r="J245" s="72" t="str">
        <f>IF('Engagement Log'!L250="","",'Engagement Log'!L250)</f>
        <v/>
      </c>
    </row>
    <row r="246" spans="1:10" x14ac:dyDescent="0.3">
      <c r="A246" s="73" t="str">
        <f>IF('Engagement Log'!O251="","",'Engagement Log'!O251)</f>
        <v/>
      </c>
      <c r="B246" s="74" t="str">
        <f ca="1">IF('Engagement Log'!O251="","",'Engagement Log'!O251-TODAY())</f>
        <v/>
      </c>
      <c r="C246" s="75" t="str">
        <f>IF('Engagement Log'!B251="","",'Engagement Log'!B251)</f>
        <v/>
      </c>
      <c r="D246" s="75" t="str">
        <f>IF('Engagement Log'!D251="","",'Engagement Log'!D251)</f>
        <v/>
      </c>
      <c r="E246" s="75" t="str">
        <f>IF('Engagement Log'!G251="","",'Engagement Log'!G251)</f>
        <v/>
      </c>
      <c r="F246" s="75" t="str">
        <f>IF('Engagement Log'!N251="","",'Engagement Log'!N251)</f>
        <v/>
      </c>
      <c r="G246" s="75" t="str">
        <f>IF('Engagement Log'!C251="","",'Engagement Log'!C251)</f>
        <v/>
      </c>
      <c r="H246" s="76" t="str">
        <f>IF('Engagement Log'!P251="","",'Engagement Log'!P251)</f>
        <v/>
      </c>
      <c r="I246" s="76" t="str">
        <f>IF('Engagement Log'!Q251="","",'Engagement Log'!Q251)</f>
        <v/>
      </c>
      <c r="J246" s="77" t="str">
        <f>IF('Engagement Log'!L251="","",'Engagement Log'!L251)</f>
        <v/>
      </c>
    </row>
    <row r="247" spans="1:10" x14ac:dyDescent="0.3">
      <c r="A247" s="68" t="str">
        <f>IF('Engagement Log'!O252="","",'Engagement Log'!O252)</f>
        <v/>
      </c>
      <c r="B247" s="69" t="str">
        <f ca="1">IF('Engagement Log'!O252="","",'Engagement Log'!O252-TODAY())</f>
        <v/>
      </c>
      <c r="C247" s="70" t="str">
        <f>IF('Engagement Log'!B252="","",'Engagement Log'!B252)</f>
        <v/>
      </c>
      <c r="D247" s="70" t="str">
        <f>IF('Engagement Log'!D252="","",'Engagement Log'!D252)</f>
        <v/>
      </c>
      <c r="E247" s="70" t="str">
        <f>IF('Engagement Log'!G252="","",'Engagement Log'!G252)</f>
        <v/>
      </c>
      <c r="F247" s="70" t="str">
        <f>IF('Engagement Log'!N252="","",'Engagement Log'!N252)</f>
        <v/>
      </c>
      <c r="G247" s="70" t="str">
        <f>IF('Engagement Log'!C252="","",'Engagement Log'!C252)</f>
        <v/>
      </c>
      <c r="H247" s="71" t="str">
        <f>IF('Engagement Log'!P252="","",'Engagement Log'!P252)</f>
        <v/>
      </c>
      <c r="I247" s="71" t="str">
        <f>IF('Engagement Log'!Q252="","",'Engagement Log'!Q252)</f>
        <v/>
      </c>
      <c r="J247" s="72" t="str">
        <f>IF('Engagement Log'!L252="","",'Engagement Log'!L252)</f>
        <v/>
      </c>
    </row>
    <row r="248" spans="1:10" x14ac:dyDescent="0.3">
      <c r="A248" s="73" t="str">
        <f>IF('Engagement Log'!O253="","",'Engagement Log'!O253)</f>
        <v/>
      </c>
      <c r="B248" s="74" t="str">
        <f ca="1">IF('Engagement Log'!O253="","",'Engagement Log'!O253-TODAY())</f>
        <v/>
      </c>
      <c r="C248" s="75" t="str">
        <f>IF('Engagement Log'!B253="","",'Engagement Log'!B253)</f>
        <v/>
      </c>
      <c r="D248" s="75" t="str">
        <f>IF('Engagement Log'!D253="","",'Engagement Log'!D253)</f>
        <v/>
      </c>
      <c r="E248" s="75" t="str">
        <f>IF('Engagement Log'!G253="","",'Engagement Log'!G253)</f>
        <v/>
      </c>
      <c r="F248" s="75" t="str">
        <f>IF('Engagement Log'!N253="","",'Engagement Log'!N253)</f>
        <v/>
      </c>
      <c r="G248" s="75" t="str">
        <f>IF('Engagement Log'!C253="","",'Engagement Log'!C253)</f>
        <v/>
      </c>
      <c r="H248" s="76" t="str">
        <f>IF('Engagement Log'!P253="","",'Engagement Log'!P253)</f>
        <v/>
      </c>
      <c r="I248" s="76" t="str">
        <f>IF('Engagement Log'!Q253="","",'Engagement Log'!Q253)</f>
        <v/>
      </c>
      <c r="J248" s="77" t="str">
        <f>IF('Engagement Log'!L253="","",'Engagement Log'!L253)</f>
        <v/>
      </c>
    </row>
    <row r="249" spans="1:10" x14ac:dyDescent="0.3">
      <c r="A249" s="68" t="str">
        <f>IF('Engagement Log'!O254="","",'Engagement Log'!O254)</f>
        <v/>
      </c>
      <c r="B249" s="69" t="str">
        <f ca="1">IF('Engagement Log'!O254="","",'Engagement Log'!O254-TODAY())</f>
        <v/>
      </c>
      <c r="C249" s="70" t="str">
        <f>IF('Engagement Log'!B254="","",'Engagement Log'!B254)</f>
        <v/>
      </c>
      <c r="D249" s="70" t="str">
        <f>IF('Engagement Log'!D254="","",'Engagement Log'!D254)</f>
        <v/>
      </c>
      <c r="E249" s="70" t="str">
        <f>IF('Engagement Log'!G254="","",'Engagement Log'!G254)</f>
        <v/>
      </c>
      <c r="F249" s="70" t="str">
        <f>IF('Engagement Log'!N254="","",'Engagement Log'!N254)</f>
        <v/>
      </c>
      <c r="G249" s="70" t="str">
        <f>IF('Engagement Log'!C254="","",'Engagement Log'!C254)</f>
        <v/>
      </c>
      <c r="H249" s="71" t="str">
        <f>IF('Engagement Log'!P254="","",'Engagement Log'!P254)</f>
        <v/>
      </c>
      <c r="I249" s="71" t="str">
        <f>IF('Engagement Log'!Q254="","",'Engagement Log'!Q254)</f>
        <v/>
      </c>
      <c r="J249" s="72" t="str">
        <f>IF('Engagement Log'!L254="","",'Engagement Log'!L254)</f>
        <v/>
      </c>
    </row>
    <row r="250" spans="1:10" x14ac:dyDescent="0.3">
      <c r="A250" s="73" t="str">
        <f>IF('Engagement Log'!O255="","",'Engagement Log'!O255)</f>
        <v/>
      </c>
      <c r="B250" s="74" t="str">
        <f ca="1">IF('Engagement Log'!O255="","",'Engagement Log'!O255-TODAY())</f>
        <v/>
      </c>
      <c r="C250" s="75" t="str">
        <f>IF('Engagement Log'!B255="","",'Engagement Log'!B255)</f>
        <v/>
      </c>
      <c r="D250" s="75" t="str">
        <f>IF('Engagement Log'!D255="","",'Engagement Log'!D255)</f>
        <v/>
      </c>
      <c r="E250" s="75" t="str">
        <f>IF('Engagement Log'!G255="","",'Engagement Log'!G255)</f>
        <v/>
      </c>
      <c r="F250" s="75" t="str">
        <f>IF('Engagement Log'!N255="","",'Engagement Log'!N255)</f>
        <v/>
      </c>
      <c r="G250" s="75" t="str">
        <f>IF('Engagement Log'!C255="","",'Engagement Log'!C255)</f>
        <v/>
      </c>
      <c r="H250" s="76" t="str">
        <f>IF('Engagement Log'!P255="","",'Engagement Log'!P255)</f>
        <v/>
      </c>
      <c r="I250" s="76" t="str">
        <f>IF('Engagement Log'!Q255="","",'Engagement Log'!Q255)</f>
        <v/>
      </c>
      <c r="J250" s="77" t="str">
        <f>IF('Engagement Log'!L255="","",'Engagement Log'!L255)</f>
        <v/>
      </c>
    </row>
    <row r="251" spans="1:10" x14ac:dyDescent="0.3">
      <c r="A251" s="68" t="str">
        <f>IF('Engagement Log'!O256="","",'Engagement Log'!O256)</f>
        <v/>
      </c>
      <c r="B251" s="69" t="str">
        <f ca="1">IF('Engagement Log'!O256="","",'Engagement Log'!O256-TODAY())</f>
        <v/>
      </c>
      <c r="C251" s="70" t="str">
        <f>IF('Engagement Log'!B256="","",'Engagement Log'!B256)</f>
        <v/>
      </c>
      <c r="D251" s="70" t="str">
        <f>IF('Engagement Log'!D256="","",'Engagement Log'!D256)</f>
        <v/>
      </c>
      <c r="E251" s="70" t="str">
        <f>IF('Engagement Log'!G256="","",'Engagement Log'!G256)</f>
        <v/>
      </c>
      <c r="F251" s="70" t="str">
        <f>IF('Engagement Log'!N256="","",'Engagement Log'!N256)</f>
        <v/>
      </c>
      <c r="G251" s="70" t="str">
        <f>IF('Engagement Log'!C256="","",'Engagement Log'!C256)</f>
        <v/>
      </c>
      <c r="H251" s="71" t="str">
        <f>IF('Engagement Log'!P256="","",'Engagement Log'!P256)</f>
        <v/>
      </c>
      <c r="I251" s="71" t="str">
        <f>IF('Engagement Log'!Q256="","",'Engagement Log'!Q256)</f>
        <v/>
      </c>
      <c r="J251" s="72" t="str">
        <f>IF('Engagement Log'!L256="","",'Engagement Log'!L256)</f>
        <v/>
      </c>
    </row>
    <row r="252" spans="1:10" x14ac:dyDescent="0.3">
      <c r="A252" s="73" t="str">
        <f>IF('Engagement Log'!O257="","",'Engagement Log'!O257)</f>
        <v/>
      </c>
      <c r="B252" s="74" t="str">
        <f ca="1">IF('Engagement Log'!O257="","",'Engagement Log'!O257-TODAY())</f>
        <v/>
      </c>
      <c r="C252" s="75" t="str">
        <f>IF('Engagement Log'!B257="","",'Engagement Log'!B257)</f>
        <v/>
      </c>
      <c r="D252" s="75" t="str">
        <f>IF('Engagement Log'!D257="","",'Engagement Log'!D257)</f>
        <v/>
      </c>
      <c r="E252" s="75" t="str">
        <f>IF('Engagement Log'!G257="","",'Engagement Log'!G257)</f>
        <v/>
      </c>
      <c r="F252" s="75" t="str">
        <f>IF('Engagement Log'!N257="","",'Engagement Log'!N257)</f>
        <v/>
      </c>
      <c r="G252" s="75" t="str">
        <f>IF('Engagement Log'!C257="","",'Engagement Log'!C257)</f>
        <v/>
      </c>
      <c r="H252" s="76" t="str">
        <f>IF('Engagement Log'!P257="","",'Engagement Log'!P257)</f>
        <v/>
      </c>
      <c r="I252" s="76" t="str">
        <f>IF('Engagement Log'!Q257="","",'Engagement Log'!Q257)</f>
        <v/>
      </c>
      <c r="J252" s="77" t="str">
        <f>IF('Engagement Log'!L257="","",'Engagement Log'!L257)</f>
        <v/>
      </c>
    </row>
    <row r="253" spans="1:10" x14ac:dyDescent="0.3">
      <c r="A253" s="68" t="str">
        <f>IF('Engagement Log'!O258="","",'Engagement Log'!O258)</f>
        <v/>
      </c>
      <c r="B253" s="69" t="str">
        <f ca="1">IF('Engagement Log'!O258="","",'Engagement Log'!O258-TODAY())</f>
        <v/>
      </c>
      <c r="C253" s="70" t="str">
        <f>IF('Engagement Log'!B258="","",'Engagement Log'!B258)</f>
        <v/>
      </c>
      <c r="D253" s="70" t="str">
        <f>IF('Engagement Log'!D258="","",'Engagement Log'!D258)</f>
        <v/>
      </c>
      <c r="E253" s="70" t="str">
        <f>IF('Engagement Log'!G258="","",'Engagement Log'!G258)</f>
        <v/>
      </c>
      <c r="F253" s="70" t="str">
        <f>IF('Engagement Log'!N258="","",'Engagement Log'!N258)</f>
        <v/>
      </c>
      <c r="G253" s="70" t="str">
        <f>IF('Engagement Log'!C258="","",'Engagement Log'!C258)</f>
        <v/>
      </c>
      <c r="H253" s="71" t="str">
        <f>IF('Engagement Log'!P258="","",'Engagement Log'!P258)</f>
        <v/>
      </c>
      <c r="I253" s="71" t="str">
        <f>IF('Engagement Log'!Q258="","",'Engagement Log'!Q258)</f>
        <v/>
      </c>
      <c r="J253" s="72" t="str">
        <f>IF('Engagement Log'!L258="","",'Engagement Log'!L258)</f>
        <v/>
      </c>
    </row>
    <row r="254" spans="1:10" x14ac:dyDescent="0.3">
      <c r="A254" s="73" t="str">
        <f>IF('Engagement Log'!O259="","",'Engagement Log'!O259)</f>
        <v/>
      </c>
      <c r="B254" s="74" t="str">
        <f ca="1">IF('Engagement Log'!O259="","",'Engagement Log'!O259-TODAY())</f>
        <v/>
      </c>
      <c r="C254" s="75" t="str">
        <f>IF('Engagement Log'!B259="","",'Engagement Log'!B259)</f>
        <v/>
      </c>
      <c r="D254" s="75" t="str">
        <f>IF('Engagement Log'!D259="","",'Engagement Log'!D259)</f>
        <v/>
      </c>
      <c r="E254" s="75" t="str">
        <f>IF('Engagement Log'!G259="","",'Engagement Log'!G259)</f>
        <v/>
      </c>
      <c r="F254" s="75" t="str">
        <f>IF('Engagement Log'!N259="","",'Engagement Log'!N259)</f>
        <v/>
      </c>
      <c r="G254" s="75" t="str">
        <f>IF('Engagement Log'!C259="","",'Engagement Log'!C259)</f>
        <v/>
      </c>
      <c r="H254" s="76" t="str">
        <f>IF('Engagement Log'!P259="","",'Engagement Log'!P259)</f>
        <v/>
      </c>
      <c r="I254" s="76" t="str">
        <f>IF('Engagement Log'!Q259="","",'Engagement Log'!Q259)</f>
        <v/>
      </c>
      <c r="J254" s="77" t="str">
        <f>IF('Engagement Log'!L259="","",'Engagement Log'!L259)</f>
        <v/>
      </c>
    </row>
    <row r="255" spans="1:10" x14ac:dyDescent="0.3">
      <c r="A255" s="68" t="str">
        <f>IF('Engagement Log'!O260="","",'Engagement Log'!O260)</f>
        <v/>
      </c>
      <c r="B255" s="69" t="str">
        <f ca="1">IF('Engagement Log'!O260="","",'Engagement Log'!O260-TODAY())</f>
        <v/>
      </c>
      <c r="C255" s="70" t="str">
        <f>IF('Engagement Log'!B260="","",'Engagement Log'!B260)</f>
        <v/>
      </c>
      <c r="D255" s="70" t="str">
        <f>IF('Engagement Log'!D260="","",'Engagement Log'!D260)</f>
        <v/>
      </c>
      <c r="E255" s="70" t="str">
        <f>IF('Engagement Log'!G260="","",'Engagement Log'!G260)</f>
        <v/>
      </c>
      <c r="F255" s="70" t="str">
        <f>IF('Engagement Log'!N260="","",'Engagement Log'!N260)</f>
        <v/>
      </c>
      <c r="G255" s="70" t="str">
        <f>IF('Engagement Log'!C260="","",'Engagement Log'!C260)</f>
        <v/>
      </c>
      <c r="H255" s="71" t="str">
        <f>IF('Engagement Log'!P260="","",'Engagement Log'!P260)</f>
        <v/>
      </c>
      <c r="I255" s="71" t="str">
        <f>IF('Engagement Log'!Q260="","",'Engagement Log'!Q260)</f>
        <v/>
      </c>
      <c r="J255" s="72" t="str">
        <f>IF('Engagement Log'!L260="","",'Engagement Log'!L260)</f>
        <v/>
      </c>
    </row>
    <row r="256" spans="1:10" x14ac:dyDescent="0.3">
      <c r="A256" s="73" t="str">
        <f>IF('Engagement Log'!O261="","",'Engagement Log'!O261)</f>
        <v/>
      </c>
      <c r="B256" s="74" t="str">
        <f ca="1">IF('Engagement Log'!O261="","",'Engagement Log'!O261-TODAY())</f>
        <v/>
      </c>
      <c r="C256" s="75" t="str">
        <f>IF('Engagement Log'!B261="","",'Engagement Log'!B261)</f>
        <v/>
      </c>
      <c r="D256" s="75" t="str">
        <f>IF('Engagement Log'!D261="","",'Engagement Log'!D261)</f>
        <v/>
      </c>
      <c r="E256" s="75" t="str">
        <f>IF('Engagement Log'!G261="","",'Engagement Log'!G261)</f>
        <v/>
      </c>
      <c r="F256" s="75" t="str">
        <f>IF('Engagement Log'!N261="","",'Engagement Log'!N261)</f>
        <v/>
      </c>
      <c r="G256" s="75" t="str">
        <f>IF('Engagement Log'!C261="","",'Engagement Log'!C261)</f>
        <v/>
      </c>
      <c r="H256" s="76" t="str">
        <f>IF('Engagement Log'!P261="","",'Engagement Log'!P261)</f>
        <v/>
      </c>
      <c r="I256" s="76" t="str">
        <f>IF('Engagement Log'!Q261="","",'Engagement Log'!Q261)</f>
        <v/>
      </c>
      <c r="J256" s="77" t="str">
        <f>IF('Engagement Log'!L261="","",'Engagement Log'!L261)</f>
        <v/>
      </c>
    </row>
    <row r="257" spans="1:10" x14ac:dyDescent="0.3">
      <c r="A257" s="68" t="str">
        <f>IF('Engagement Log'!O262="","",'Engagement Log'!O262)</f>
        <v/>
      </c>
      <c r="B257" s="69" t="str">
        <f ca="1">IF('Engagement Log'!O262="","",'Engagement Log'!O262-TODAY())</f>
        <v/>
      </c>
      <c r="C257" s="70" t="str">
        <f>IF('Engagement Log'!B262="","",'Engagement Log'!B262)</f>
        <v/>
      </c>
      <c r="D257" s="70" t="str">
        <f>IF('Engagement Log'!D262="","",'Engagement Log'!D262)</f>
        <v/>
      </c>
      <c r="E257" s="70" t="str">
        <f>IF('Engagement Log'!G262="","",'Engagement Log'!G262)</f>
        <v/>
      </c>
      <c r="F257" s="70" t="str">
        <f>IF('Engagement Log'!N262="","",'Engagement Log'!N262)</f>
        <v/>
      </c>
      <c r="G257" s="70" t="str">
        <f>IF('Engagement Log'!C262="","",'Engagement Log'!C262)</f>
        <v/>
      </c>
      <c r="H257" s="71" t="str">
        <f>IF('Engagement Log'!P262="","",'Engagement Log'!P262)</f>
        <v/>
      </c>
      <c r="I257" s="71" t="str">
        <f>IF('Engagement Log'!Q262="","",'Engagement Log'!Q262)</f>
        <v/>
      </c>
      <c r="J257" s="72" t="str">
        <f>IF('Engagement Log'!L262="","",'Engagement Log'!L262)</f>
        <v/>
      </c>
    </row>
    <row r="258" spans="1:10" x14ac:dyDescent="0.3">
      <c r="A258" s="73" t="str">
        <f>IF('Engagement Log'!O263="","",'Engagement Log'!O263)</f>
        <v/>
      </c>
      <c r="B258" s="74" t="str">
        <f ca="1">IF('Engagement Log'!O263="","",'Engagement Log'!O263-TODAY())</f>
        <v/>
      </c>
      <c r="C258" s="75" t="str">
        <f>IF('Engagement Log'!B263="","",'Engagement Log'!B263)</f>
        <v/>
      </c>
      <c r="D258" s="75" t="str">
        <f>IF('Engagement Log'!D263="","",'Engagement Log'!D263)</f>
        <v/>
      </c>
      <c r="E258" s="75" t="str">
        <f>IF('Engagement Log'!G263="","",'Engagement Log'!G263)</f>
        <v/>
      </c>
      <c r="F258" s="75" t="str">
        <f>IF('Engagement Log'!N263="","",'Engagement Log'!N263)</f>
        <v/>
      </c>
      <c r="G258" s="75" t="str">
        <f>IF('Engagement Log'!C263="","",'Engagement Log'!C263)</f>
        <v/>
      </c>
      <c r="H258" s="76" t="str">
        <f>IF('Engagement Log'!P263="","",'Engagement Log'!P263)</f>
        <v/>
      </c>
      <c r="I258" s="76" t="str">
        <f>IF('Engagement Log'!Q263="","",'Engagement Log'!Q263)</f>
        <v/>
      </c>
      <c r="J258" s="77" t="str">
        <f>IF('Engagement Log'!L263="","",'Engagement Log'!L263)</f>
        <v/>
      </c>
    </row>
    <row r="259" spans="1:10" x14ac:dyDescent="0.3">
      <c r="A259" s="68" t="str">
        <f>IF('Engagement Log'!O264="","",'Engagement Log'!O264)</f>
        <v/>
      </c>
      <c r="B259" s="69" t="str">
        <f ca="1">IF('Engagement Log'!O264="","",'Engagement Log'!O264-TODAY())</f>
        <v/>
      </c>
      <c r="C259" s="70" t="str">
        <f>IF('Engagement Log'!B264="","",'Engagement Log'!B264)</f>
        <v/>
      </c>
      <c r="D259" s="70" t="str">
        <f>IF('Engagement Log'!D264="","",'Engagement Log'!D264)</f>
        <v/>
      </c>
      <c r="E259" s="70" t="str">
        <f>IF('Engagement Log'!G264="","",'Engagement Log'!G264)</f>
        <v/>
      </c>
      <c r="F259" s="70" t="str">
        <f>IF('Engagement Log'!N264="","",'Engagement Log'!N264)</f>
        <v/>
      </c>
      <c r="G259" s="70" t="str">
        <f>IF('Engagement Log'!C264="","",'Engagement Log'!C264)</f>
        <v/>
      </c>
      <c r="H259" s="71" t="str">
        <f>IF('Engagement Log'!P264="","",'Engagement Log'!P264)</f>
        <v/>
      </c>
      <c r="I259" s="71" t="str">
        <f>IF('Engagement Log'!Q264="","",'Engagement Log'!Q264)</f>
        <v/>
      </c>
      <c r="J259" s="72" t="str">
        <f>IF('Engagement Log'!L264="","",'Engagement Log'!L264)</f>
        <v/>
      </c>
    </row>
    <row r="260" spans="1:10" x14ac:dyDescent="0.3">
      <c r="A260" s="73" t="str">
        <f>IF('Engagement Log'!O265="","",'Engagement Log'!O265)</f>
        <v/>
      </c>
      <c r="B260" s="74" t="str">
        <f ca="1">IF('Engagement Log'!O265="","",'Engagement Log'!O265-TODAY())</f>
        <v/>
      </c>
      <c r="C260" s="75" t="str">
        <f>IF('Engagement Log'!B265="","",'Engagement Log'!B265)</f>
        <v/>
      </c>
      <c r="D260" s="75" t="str">
        <f>IF('Engagement Log'!D265="","",'Engagement Log'!D265)</f>
        <v/>
      </c>
      <c r="E260" s="75" t="str">
        <f>IF('Engagement Log'!G265="","",'Engagement Log'!G265)</f>
        <v/>
      </c>
      <c r="F260" s="75" t="str">
        <f>IF('Engagement Log'!N265="","",'Engagement Log'!N265)</f>
        <v/>
      </c>
      <c r="G260" s="75" t="str">
        <f>IF('Engagement Log'!C265="","",'Engagement Log'!C265)</f>
        <v/>
      </c>
      <c r="H260" s="76" t="str">
        <f>IF('Engagement Log'!P265="","",'Engagement Log'!P265)</f>
        <v/>
      </c>
      <c r="I260" s="76" t="str">
        <f>IF('Engagement Log'!Q265="","",'Engagement Log'!Q265)</f>
        <v/>
      </c>
      <c r="J260" s="77" t="str">
        <f>IF('Engagement Log'!L265="","",'Engagement Log'!L265)</f>
        <v/>
      </c>
    </row>
    <row r="261" spans="1:10" x14ac:dyDescent="0.3">
      <c r="A261" s="68" t="str">
        <f>IF('Engagement Log'!O266="","",'Engagement Log'!O266)</f>
        <v/>
      </c>
      <c r="B261" s="69" t="str">
        <f ca="1">IF('Engagement Log'!O266="","",'Engagement Log'!O266-TODAY())</f>
        <v/>
      </c>
      <c r="C261" s="70" t="str">
        <f>IF('Engagement Log'!B266="","",'Engagement Log'!B266)</f>
        <v/>
      </c>
      <c r="D261" s="70" t="str">
        <f>IF('Engagement Log'!D266="","",'Engagement Log'!D266)</f>
        <v/>
      </c>
      <c r="E261" s="70" t="str">
        <f>IF('Engagement Log'!G266="","",'Engagement Log'!G266)</f>
        <v/>
      </c>
      <c r="F261" s="70" t="str">
        <f>IF('Engagement Log'!N266="","",'Engagement Log'!N266)</f>
        <v/>
      </c>
      <c r="G261" s="70" t="str">
        <f>IF('Engagement Log'!C266="","",'Engagement Log'!C266)</f>
        <v/>
      </c>
      <c r="H261" s="71" t="str">
        <f>IF('Engagement Log'!P266="","",'Engagement Log'!P266)</f>
        <v/>
      </c>
      <c r="I261" s="71" t="str">
        <f>IF('Engagement Log'!Q266="","",'Engagement Log'!Q266)</f>
        <v/>
      </c>
      <c r="J261" s="72" t="str">
        <f>IF('Engagement Log'!L266="","",'Engagement Log'!L266)</f>
        <v/>
      </c>
    </row>
    <row r="262" spans="1:10" x14ac:dyDescent="0.3">
      <c r="A262" s="73" t="str">
        <f>IF('Engagement Log'!O267="","",'Engagement Log'!O267)</f>
        <v/>
      </c>
      <c r="B262" s="74" t="str">
        <f ca="1">IF('Engagement Log'!O267="","",'Engagement Log'!O267-TODAY())</f>
        <v/>
      </c>
      <c r="C262" s="75" t="str">
        <f>IF('Engagement Log'!B267="","",'Engagement Log'!B267)</f>
        <v/>
      </c>
      <c r="D262" s="75" t="str">
        <f>IF('Engagement Log'!D267="","",'Engagement Log'!D267)</f>
        <v/>
      </c>
      <c r="E262" s="75" t="str">
        <f>IF('Engagement Log'!G267="","",'Engagement Log'!G267)</f>
        <v/>
      </c>
      <c r="F262" s="75" t="str">
        <f>IF('Engagement Log'!N267="","",'Engagement Log'!N267)</f>
        <v/>
      </c>
      <c r="G262" s="75" t="str">
        <f>IF('Engagement Log'!C267="","",'Engagement Log'!C267)</f>
        <v/>
      </c>
      <c r="H262" s="76" t="str">
        <f>IF('Engagement Log'!P267="","",'Engagement Log'!P267)</f>
        <v/>
      </c>
      <c r="I262" s="76" t="str">
        <f>IF('Engagement Log'!Q267="","",'Engagement Log'!Q267)</f>
        <v/>
      </c>
      <c r="J262" s="77" t="str">
        <f>IF('Engagement Log'!L267="","",'Engagement Log'!L267)</f>
        <v/>
      </c>
    </row>
    <row r="263" spans="1:10" x14ac:dyDescent="0.3">
      <c r="A263" s="68" t="str">
        <f>IF('Engagement Log'!O268="","",'Engagement Log'!O268)</f>
        <v/>
      </c>
      <c r="B263" s="69" t="str">
        <f ca="1">IF('Engagement Log'!O268="","",'Engagement Log'!O268-TODAY())</f>
        <v/>
      </c>
      <c r="C263" s="70" t="str">
        <f>IF('Engagement Log'!B268="","",'Engagement Log'!B268)</f>
        <v/>
      </c>
      <c r="D263" s="70" t="str">
        <f>IF('Engagement Log'!D268="","",'Engagement Log'!D268)</f>
        <v/>
      </c>
      <c r="E263" s="70" t="str">
        <f>IF('Engagement Log'!G268="","",'Engagement Log'!G268)</f>
        <v/>
      </c>
      <c r="F263" s="70" t="str">
        <f>IF('Engagement Log'!N268="","",'Engagement Log'!N268)</f>
        <v/>
      </c>
      <c r="G263" s="70" t="str">
        <f>IF('Engagement Log'!C268="","",'Engagement Log'!C268)</f>
        <v/>
      </c>
      <c r="H263" s="71" t="str">
        <f>IF('Engagement Log'!P268="","",'Engagement Log'!P268)</f>
        <v/>
      </c>
      <c r="I263" s="71" t="str">
        <f>IF('Engagement Log'!Q268="","",'Engagement Log'!Q268)</f>
        <v/>
      </c>
      <c r="J263" s="72" t="str">
        <f>IF('Engagement Log'!L268="","",'Engagement Log'!L268)</f>
        <v/>
      </c>
    </row>
    <row r="264" spans="1:10" x14ac:dyDescent="0.3">
      <c r="A264" s="73" t="str">
        <f>IF('Engagement Log'!O269="","",'Engagement Log'!O269)</f>
        <v/>
      </c>
      <c r="B264" s="74" t="str">
        <f ca="1">IF('Engagement Log'!O269="","",'Engagement Log'!O269-TODAY())</f>
        <v/>
      </c>
      <c r="C264" s="75" t="str">
        <f>IF('Engagement Log'!B269="","",'Engagement Log'!B269)</f>
        <v/>
      </c>
      <c r="D264" s="75" t="str">
        <f>IF('Engagement Log'!D269="","",'Engagement Log'!D269)</f>
        <v/>
      </c>
      <c r="E264" s="75" t="str">
        <f>IF('Engagement Log'!G269="","",'Engagement Log'!G269)</f>
        <v/>
      </c>
      <c r="F264" s="75" t="str">
        <f>IF('Engagement Log'!N269="","",'Engagement Log'!N269)</f>
        <v/>
      </c>
      <c r="G264" s="75" t="str">
        <f>IF('Engagement Log'!C269="","",'Engagement Log'!C269)</f>
        <v/>
      </c>
      <c r="H264" s="76" t="str">
        <f>IF('Engagement Log'!P269="","",'Engagement Log'!P269)</f>
        <v/>
      </c>
      <c r="I264" s="76" t="str">
        <f>IF('Engagement Log'!Q269="","",'Engagement Log'!Q269)</f>
        <v/>
      </c>
      <c r="J264" s="77" t="str">
        <f>IF('Engagement Log'!L269="","",'Engagement Log'!L269)</f>
        <v/>
      </c>
    </row>
    <row r="265" spans="1:10" x14ac:dyDescent="0.3">
      <c r="A265" s="68" t="str">
        <f>IF('Engagement Log'!O270="","",'Engagement Log'!O270)</f>
        <v/>
      </c>
      <c r="B265" s="69" t="str">
        <f ca="1">IF('Engagement Log'!O270="","",'Engagement Log'!O270-TODAY())</f>
        <v/>
      </c>
      <c r="C265" s="70" t="str">
        <f>IF('Engagement Log'!B270="","",'Engagement Log'!B270)</f>
        <v/>
      </c>
      <c r="D265" s="70" t="str">
        <f>IF('Engagement Log'!D270="","",'Engagement Log'!D270)</f>
        <v/>
      </c>
      <c r="E265" s="70" t="str">
        <f>IF('Engagement Log'!G270="","",'Engagement Log'!G270)</f>
        <v/>
      </c>
      <c r="F265" s="70" t="str">
        <f>IF('Engagement Log'!N270="","",'Engagement Log'!N270)</f>
        <v/>
      </c>
      <c r="G265" s="70" t="str">
        <f>IF('Engagement Log'!C270="","",'Engagement Log'!C270)</f>
        <v/>
      </c>
      <c r="H265" s="71" t="str">
        <f>IF('Engagement Log'!P270="","",'Engagement Log'!P270)</f>
        <v/>
      </c>
      <c r="I265" s="71" t="str">
        <f>IF('Engagement Log'!Q270="","",'Engagement Log'!Q270)</f>
        <v/>
      </c>
      <c r="J265" s="72" t="str">
        <f>IF('Engagement Log'!L270="","",'Engagement Log'!L270)</f>
        <v/>
      </c>
    </row>
    <row r="266" spans="1:10" x14ac:dyDescent="0.3">
      <c r="A266" s="73" t="str">
        <f>IF('Engagement Log'!O271="","",'Engagement Log'!O271)</f>
        <v/>
      </c>
      <c r="B266" s="74" t="str">
        <f ca="1">IF('Engagement Log'!O271="","",'Engagement Log'!O271-TODAY())</f>
        <v/>
      </c>
      <c r="C266" s="75" t="str">
        <f>IF('Engagement Log'!B271="","",'Engagement Log'!B271)</f>
        <v/>
      </c>
      <c r="D266" s="75" t="str">
        <f>IF('Engagement Log'!D271="","",'Engagement Log'!D271)</f>
        <v/>
      </c>
      <c r="E266" s="75" t="str">
        <f>IF('Engagement Log'!G271="","",'Engagement Log'!G271)</f>
        <v/>
      </c>
      <c r="F266" s="75" t="str">
        <f>IF('Engagement Log'!N271="","",'Engagement Log'!N271)</f>
        <v/>
      </c>
      <c r="G266" s="75" t="str">
        <f>IF('Engagement Log'!C271="","",'Engagement Log'!C271)</f>
        <v/>
      </c>
      <c r="H266" s="76" t="str">
        <f>IF('Engagement Log'!P271="","",'Engagement Log'!P271)</f>
        <v/>
      </c>
      <c r="I266" s="76" t="str">
        <f>IF('Engagement Log'!Q271="","",'Engagement Log'!Q271)</f>
        <v/>
      </c>
      <c r="J266" s="77" t="str">
        <f>IF('Engagement Log'!L271="","",'Engagement Log'!L271)</f>
        <v/>
      </c>
    </row>
    <row r="267" spans="1:10" x14ac:dyDescent="0.3">
      <c r="A267" s="68" t="str">
        <f>IF('Engagement Log'!O272="","",'Engagement Log'!O272)</f>
        <v/>
      </c>
      <c r="B267" s="69" t="str">
        <f ca="1">IF('Engagement Log'!O272="","",'Engagement Log'!O272-TODAY())</f>
        <v/>
      </c>
      <c r="C267" s="70" t="str">
        <f>IF('Engagement Log'!B272="","",'Engagement Log'!B272)</f>
        <v/>
      </c>
      <c r="D267" s="70" t="str">
        <f>IF('Engagement Log'!D272="","",'Engagement Log'!D272)</f>
        <v/>
      </c>
      <c r="E267" s="70" t="str">
        <f>IF('Engagement Log'!G272="","",'Engagement Log'!G272)</f>
        <v/>
      </c>
      <c r="F267" s="70" t="str">
        <f>IF('Engagement Log'!N272="","",'Engagement Log'!N272)</f>
        <v/>
      </c>
      <c r="G267" s="70" t="str">
        <f>IF('Engagement Log'!C272="","",'Engagement Log'!C272)</f>
        <v/>
      </c>
      <c r="H267" s="71" t="str">
        <f>IF('Engagement Log'!P272="","",'Engagement Log'!P272)</f>
        <v/>
      </c>
      <c r="I267" s="71" t="str">
        <f>IF('Engagement Log'!Q272="","",'Engagement Log'!Q272)</f>
        <v/>
      </c>
      <c r="J267" s="72" t="str">
        <f>IF('Engagement Log'!L272="","",'Engagement Log'!L272)</f>
        <v/>
      </c>
    </row>
    <row r="268" spans="1:10" x14ac:dyDescent="0.3">
      <c r="A268" s="73" t="str">
        <f>IF('Engagement Log'!O273="","",'Engagement Log'!O273)</f>
        <v/>
      </c>
      <c r="B268" s="74" t="str">
        <f ca="1">IF('Engagement Log'!O273="","",'Engagement Log'!O273-TODAY())</f>
        <v/>
      </c>
      <c r="C268" s="75" t="str">
        <f>IF('Engagement Log'!B273="","",'Engagement Log'!B273)</f>
        <v/>
      </c>
      <c r="D268" s="75" t="str">
        <f>IF('Engagement Log'!D273="","",'Engagement Log'!D273)</f>
        <v/>
      </c>
      <c r="E268" s="75" t="str">
        <f>IF('Engagement Log'!G273="","",'Engagement Log'!G273)</f>
        <v/>
      </c>
      <c r="F268" s="75" t="str">
        <f>IF('Engagement Log'!N273="","",'Engagement Log'!N273)</f>
        <v/>
      </c>
      <c r="G268" s="75" t="str">
        <f>IF('Engagement Log'!C273="","",'Engagement Log'!C273)</f>
        <v/>
      </c>
      <c r="H268" s="76" t="str">
        <f>IF('Engagement Log'!P273="","",'Engagement Log'!P273)</f>
        <v/>
      </c>
      <c r="I268" s="76" t="str">
        <f>IF('Engagement Log'!Q273="","",'Engagement Log'!Q273)</f>
        <v/>
      </c>
      <c r="J268" s="77" t="str">
        <f>IF('Engagement Log'!L273="","",'Engagement Log'!L273)</f>
        <v/>
      </c>
    </row>
    <row r="269" spans="1:10" x14ac:dyDescent="0.3">
      <c r="A269" s="68" t="str">
        <f>IF('Engagement Log'!O274="","",'Engagement Log'!O274)</f>
        <v/>
      </c>
      <c r="B269" s="69" t="str">
        <f ca="1">IF('Engagement Log'!O274="","",'Engagement Log'!O274-TODAY())</f>
        <v/>
      </c>
      <c r="C269" s="70" t="str">
        <f>IF('Engagement Log'!B274="","",'Engagement Log'!B274)</f>
        <v/>
      </c>
      <c r="D269" s="70" t="str">
        <f>IF('Engagement Log'!D274="","",'Engagement Log'!D274)</f>
        <v/>
      </c>
      <c r="E269" s="70" t="str">
        <f>IF('Engagement Log'!G274="","",'Engagement Log'!G274)</f>
        <v/>
      </c>
      <c r="F269" s="70" t="str">
        <f>IF('Engagement Log'!N274="","",'Engagement Log'!N274)</f>
        <v/>
      </c>
      <c r="G269" s="70" t="str">
        <f>IF('Engagement Log'!C274="","",'Engagement Log'!C274)</f>
        <v/>
      </c>
      <c r="H269" s="71" t="str">
        <f>IF('Engagement Log'!P274="","",'Engagement Log'!P274)</f>
        <v/>
      </c>
      <c r="I269" s="71" t="str">
        <f>IF('Engagement Log'!Q274="","",'Engagement Log'!Q274)</f>
        <v/>
      </c>
      <c r="J269" s="72" t="str">
        <f>IF('Engagement Log'!L274="","",'Engagement Log'!L274)</f>
        <v/>
      </c>
    </row>
    <row r="270" spans="1:10" x14ac:dyDescent="0.3">
      <c r="A270" s="73" t="str">
        <f>IF('Engagement Log'!O275="","",'Engagement Log'!O275)</f>
        <v/>
      </c>
      <c r="B270" s="74" t="str">
        <f ca="1">IF('Engagement Log'!O275="","",'Engagement Log'!O275-TODAY())</f>
        <v/>
      </c>
      <c r="C270" s="75" t="str">
        <f>IF('Engagement Log'!B275="","",'Engagement Log'!B275)</f>
        <v/>
      </c>
      <c r="D270" s="75" t="str">
        <f>IF('Engagement Log'!D275="","",'Engagement Log'!D275)</f>
        <v/>
      </c>
      <c r="E270" s="75" t="str">
        <f>IF('Engagement Log'!G275="","",'Engagement Log'!G275)</f>
        <v/>
      </c>
      <c r="F270" s="75" t="str">
        <f>IF('Engagement Log'!N275="","",'Engagement Log'!N275)</f>
        <v/>
      </c>
      <c r="G270" s="75" t="str">
        <f>IF('Engagement Log'!C275="","",'Engagement Log'!C275)</f>
        <v/>
      </c>
      <c r="H270" s="76" t="str">
        <f>IF('Engagement Log'!P275="","",'Engagement Log'!P275)</f>
        <v/>
      </c>
      <c r="I270" s="76" t="str">
        <f>IF('Engagement Log'!Q275="","",'Engagement Log'!Q275)</f>
        <v/>
      </c>
      <c r="J270" s="77" t="str">
        <f>IF('Engagement Log'!L275="","",'Engagement Log'!L275)</f>
        <v/>
      </c>
    </row>
    <row r="271" spans="1:10" x14ac:dyDescent="0.3">
      <c r="A271" s="68" t="str">
        <f>IF('Engagement Log'!O276="","",'Engagement Log'!O276)</f>
        <v/>
      </c>
      <c r="B271" s="69" t="str">
        <f ca="1">IF('Engagement Log'!O276="","",'Engagement Log'!O276-TODAY())</f>
        <v/>
      </c>
      <c r="C271" s="70" t="str">
        <f>IF('Engagement Log'!B276="","",'Engagement Log'!B276)</f>
        <v/>
      </c>
      <c r="D271" s="70" t="str">
        <f>IF('Engagement Log'!D276="","",'Engagement Log'!D276)</f>
        <v/>
      </c>
      <c r="E271" s="70" t="str">
        <f>IF('Engagement Log'!G276="","",'Engagement Log'!G276)</f>
        <v/>
      </c>
      <c r="F271" s="70" t="str">
        <f>IF('Engagement Log'!N276="","",'Engagement Log'!N276)</f>
        <v/>
      </c>
      <c r="G271" s="70" t="str">
        <f>IF('Engagement Log'!C276="","",'Engagement Log'!C276)</f>
        <v/>
      </c>
      <c r="H271" s="71" t="str">
        <f>IF('Engagement Log'!P276="","",'Engagement Log'!P276)</f>
        <v/>
      </c>
      <c r="I271" s="71" t="str">
        <f>IF('Engagement Log'!Q276="","",'Engagement Log'!Q276)</f>
        <v/>
      </c>
      <c r="J271" s="72" t="str">
        <f>IF('Engagement Log'!L276="","",'Engagement Log'!L276)</f>
        <v/>
      </c>
    </row>
    <row r="272" spans="1:10" x14ac:dyDescent="0.3">
      <c r="A272" s="73" t="str">
        <f>IF('Engagement Log'!O277="","",'Engagement Log'!O277)</f>
        <v/>
      </c>
      <c r="B272" s="74" t="str">
        <f ca="1">IF('Engagement Log'!O277="","",'Engagement Log'!O277-TODAY())</f>
        <v/>
      </c>
      <c r="C272" s="75" t="str">
        <f>IF('Engagement Log'!B277="","",'Engagement Log'!B277)</f>
        <v/>
      </c>
      <c r="D272" s="75" t="str">
        <f>IF('Engagement Log'!D277="","",'Engagement Log'!D277)</f>
        <v/>
      </c>
      <c r="E272" s="75" t="str">
        <f>IF('Engagement Log'!G277="","",'Engagement Log'!G277)</f>
        <v/>
      </c>
      <c r="F272" s="75" t="str">
        <f>IF('Engagement Log'!N277="","",'Engagement Log'!N277)</f>
        <v/>
      </c>
      <c r="G272" s="75" t="str">
        <f>IF('Engagement Log'!C277="","",'Engagement Log'!C277)</f>
        <v/>
      </c>
      <c r="H272" s="76" t="str">
        <f>IF('Engagement Log'!P277="","",'Engagement Log'!P277)</f>
        <v/>
      </c>
      <c r="I272" s="76" t="str">
        <f>IF('Engagement Log'!Q277="","",'Engagement Log'!Q277)</f>
        <v/>
      </c>
      <c r="J272" s="77" t="str">
        <f>IF('Engagement Log'!L277="","",'Engagement Log'!L277)</f>
        <v/>
      </c>
    </row>
    <row r="273" spans="1:10" x14ac:dyDescent="0.3">
      <c r="A273" s="68" t="str">
        <f>IF('Engagement Log'!O278="","",'Engagement Log'!O278)</f>
        <v/>
      </c>
      <c r="B273" s="69" t="str">
        <f ca="1">IF('Engagement Log'!O278="","",'Engagement Log'!O278-TODAY())</f>
        <v/>
      </c>
      <c r="C273" s="70" t="str">
        <f>IF('Engagement Log'!B278="","",'Engagement Log'!B278)</f>
        <v/>
      </c>
      <c r="D273" s="70" t="str">
        <f>IF('Engagement Log'!D278="","",'Engagement Log'!D278)</f>
        <v/>
      </c>
      <c r="E273" s="70" t="str">
        <f>IF('Engagement Log'!G278="","",'Engagement Log'!G278)</f>
        <v/>
      </c>
      <c r="F273" s="70" t="str">
        <f>IF('Engagement Log'!N278="","",'Engagement Log'!N278)</f>
        <v/>
      </c>
      <c r="G273" s="70" t="str">
        <f>IF('Engagement Log'!C278="","",'Engagement Log'!C278)</f>
        <v/>
      </c>
      <c r="H273" s="71" t="str">
        <f>IF('Engagement Log'!P278="","",'Engagement Log'!P278)</f>
        <v/>
      </c>
      <c r="I273" s="71" t="str">
        <f>IF('Engagement Log'!Q278="","",'Engagement Log'!Q278)</f>
        <v/>
      </c>
      <c r="J273" s="72" t="str">
        <f>IF('Engagement Log'!L278="","",'Engagement Log'!L278)</f>
        <v/>
      </c>
    </row>
    <row r="274" spans="1:10" x14ac:dyDescent="0.3">
      <c r="A274" s="73" t="str">
        <f>IF('Engagement Log'!O279="","",'Engagement Log'!O279)</f>
        <v/>
      </c>
      <c r="B274" s="74" t="str">
        <f ca="1">IF('Engagement Log'!O279="","",'Engagement Log'!O279-TODAY())</f>
        <v/>
      </c>
      <c r="C274" s="75" t="str">
        <f>IF('Engagement Log'!B279="","",'Engagement Log'!B279)</f>
        <v/>
      </c>
      <c r="D274" s="75" t="str">
        <f>IF('Engagement Log'!D279="","",'Engagement Log'!D279)</f>
        <v/>
      </c>
      <c r="E274" s="75" t="str">
        <f>IF('Engagement Log'!G279="","",'Engagement Log'!G279)</f>
        <v/>
      </c>
      <c r="F274" s="75" t="str">
        <f>IF('Engagement Log'!N279="","",'Engagement Log'!N279)</f>
        <v/>
      </c>
      <c r="G274" s="75" t="str">
        <f>IF('Engagement Log'!C279="","",'Engagement Log'!C279)</f>
        <v/>
      </c>
      <c r="H274" s="76" t="str">
        <f>IF('Engagement Log'!P279="","",'Engagement Log'!P279)</f>
        <v/>
      </c>
      <c r="I274" s="76" t="str">
        <f>IF('Engagement Log'!Q279="","",'Engagement Log'!Q279)</f>
        <v/>
      </c>
      <c r="J274" s="77" t="str">
        <f>IF('Engagement Log'!L279="","",'Engagement Log'!L279)</f>
        <v/>
      </c>
    </row>
    <row r="275" spans="1:10" x14ac:dyDescent="0.3">
      <c r="A275" s="68" t="str">
        <f>IF('Engagement Log'!O280="","",'Engagement Log'!O280)</f>
        <v/>
      </c>
      <c r="B275" s="69" t="str">
        <f ca="1">IF('Engagement Log'!O280="","",'Engagement Log'!O280-TODAY())</f>
        <v/>
      </c>
      <c r="C275" s="70" t="str">
        <f>IF('Engagement Log'!B280="","",'Engagement Log'!B280)</f>
        <v/>
      </c>
      <c r="D275" s="70" t="str">
        <f>IF('Engagement Log'!D280="","",'Engagement Log'!D280)</f>
        <v/>
      </c>
      <c r="E275" s="70" t="str">
        <f>IF('Engagement Log'!G280="","",'Engagement Log'!G280)</f>
        <v/>
      </c>
      <c r="F275" s="70" t="str">
        <f>IF('Engagement Log'!N280="","",'Engagement Log'!N280)</f>
        <v/>
      </c>
      <c r="G275" s="70" t="str">
        <f>IF('Engagement Log'!C280="","",'Engagement Log'!C280)</f>
        <v/>
      </c>
      <c r="H275" s="71" t="str">
        <f>IF('Engagement Log'!P280="","",'Engagement Log'!P280)</f>
        <v/>
      </c>
      <c r="I275" s="71" t="str">
        <f>IF('Engagement Log'!Q280="","",'Engagement Log'!Q280)</f>
        <v/>
      </c>
      <c r="J275" s="72" t="str">
        <f>IF('Engagement Log'!L280="","",'Engagement Log'!L280)</f>
        <v/>
      </c>
    </row>
    <row r="276" spans="1:10" x14ac:dyDescent="0.3">
      <c r="A276" s="73" t="str">
        <f>IF('Engagement Log'!O281="","",'Engagement Log'!O281)</f>
        <v/>
      </c>
      <c r="B276" s="74" t="str">
        <f ca="1">IF('Engagement Log'!O281="","",'Engagement Log'!O281-TODAY())</f>
        <v/>
      </c>
      <c r="C276" s="75" t="str">
        <f>IF('Engagement Log'!B281="","",'Engagement Log'!B281)</f>
        <v/>
      </c>
      <c r="D276" s="75" t="str">
        <f>IF('Engagement Log'!D281="","",'Engagement Log'!D281)</f>
        <v/>
      </c>
      <c r="E276" s="75" t="str">
        <f>IF('Engagement Log'!G281="","",'Engagement Log'!G281)</f>
        <v/>
      </c>
      <c r="F276" s="75" t="str">
        <f>IF('Engagement Log'!N281="","",'Engagement Log'!N281)</f>
        <v/>
      </c>
      <c r="G276" s="75" t="str">
        <f>IF('Engagement Log'!C281="","",'Engagement Log'!C281)</f>
        <v/>
      </c>
      <c r="H276" s="76" t="str">
        <f>IF('Engagement Log'!P281="","",'Engagement Log'!P281)</f>
        <v/>
      </c>
      <c r="I276" s="76" t="str">
        <f>IF('Engagement Log'!Q281="","",'Engagement Log'!Q281)</f>
        <v/>
      </c>
      <c r="J276" s="77" t="str">
        <f>IF('Engagement Log'!L281="","",'Engagement Log'!L281)</f>
        <v/>
      </c>
    </row>
    <row r="277" spans="1:10" x14ac:dyDescent="0.3">
      <c r="A277" s="68" t="str">
        <f>IF('Engagement Log'!O282="","",'Engagement Log'!O282)</f>
        <v/>
      </c>
      <c r="B277" s="69" t="str">
        <f ca="1">IF('Engagement Log'!O282="","",'Engagement Log'!O282-TODAY())</f>
        <v/>
      </c>
      <c r="C277" s="70" t="str">
        <f>IF('Engagement Log'!B282="","",'Engagement Log'!B282)</f>
        <v/>
      </c>
      <c r="D277" s="70" t="str">
        <f>IF('Engagement Log'!D282="","",'Engagement Log'!D282)</f>
        <v/>
      </c>
      <c r="E277" s="70" t="str">
        <f>IF('Engagement Log'!G282="","",'Engagement Log'!G282)</f>
        <v/>
      </c>
      <c r="F277" s="70" t="str">
        <f>IF('Engagement Log'!N282="","",'Engagement Log'!N282)</f>
        <v/>
      </c>
      <c r="G277" s="70" t="str">
        <f>IF('Engagement Log'!C282="","",'Engagement Log'!C282)</f>
        <v/>
      </c>
      <c r="H277" s="71" t="str">
        <f>IF('Engagement Log'!P282="","",'Engagement Log'!P282)</f>
        <v/>
      </c>
      <c r="I277" s="71" t="str">
        <f>IF('Engagement Log'!Q282="","",'Engagement Log'!Q282)</f>
        <v/>
      </c>
      <c r="J277" s="72" t="str">
        <f>IF('Engagement Log'!L282="","",'Engagement Log'!L282)</f>
        <v/>
      </c>
    </row>
    <row r="278" spans="1:10" x14ac:dyDescent="0.3">
      <c r="A278" s="73" t="str">
        <f>IF('Engagement Log'!O283="","",'Engagement Log'!O283)</f>
        <v/>
      </c>
      <c r="B278" s="74" t="str">
        <f ca="1">IF('Engagement Log'!O283="","",'Engagement Log'!O283-TODAY())</f>
        <v/>
      </c>
      <c r="C278" s="75" t="str">
        <f>IF('Engagement Log'!B283="","",'Engagement Log'!B283)</f>
        <v/>
      </c>
      <c r="D278" s="75" t="str">
        <f>IF('Engagement Log'!D283="","",'Engagement Log'!D283)</f>
        <v/>
      </c>
      <c r="E278" s="75" t="str">
        <f>IF('Engagement Log'!G283="","",'Engagement Log'!G283)</f>
        <v/>
      </c>
      <c r="F278" s="75" t="str">
        <f>IF('Engagement Log'!N283="","",'Engagement Log'!N283)</f>
        <v/>
      </c>
      <c r="G278" s="75" t="str">
        <f>IF('Engagement Log'!C283="","",'Engagement Log'!C283)</f>
        <v/>
      </c>
      <c r="H278" s="76" t="str">
        <f>IF('Engagement Log'!P283="","",'Engagement Log'!P283)</f>
        <v/>
      </c>
      <c r="I278" s="76" t="str">
        <f>IF('Engagement Log'!Q283="","",'Engagement Log'!Q283)</f>
        <v/>
      </c>
      <c r="J278" s="77" t="str">
        <f>IF('Engagement Log'!L283="","",'Engagement Log'!L283)</f>
        <v/>
      </c>
    </row>
    <row r="279" spans="1:10" x14ac:dyDescent="0.3">
      <c r="A279" s="68" t="str">
        <f>IF('Engagement Log'!O284="","",'Engagement Log'!O284)</f>
        <v/>
      </c>
      <c r="B279" s="69" t="str">
        <f ca="1">IF('Engagement Log'!O284="","",'Engagement Log'!O284-TODAY())</f>
        <v/>
      </c>
      <c r="C279" s="70" t="str">
        <f>IF('Engagement Log'!B284="","",'Engagement Log'!B284)</f>
        <v/>
      </c>
      <c r="D279" s="70" t="str">
        <f>IF('Engagement Log'!D284="","",'Engagement Log'!D284)</f>
        <v/>
      </c>
      <c r="E279" s="70" t="str">
        <f>IF('Engagement Log'!G284="","",'Engagement Log'!G284)</f>
        <v/>
      </c>
      <c r="F279" s="70" t="str">
        <f>IF('Engagement Log'!N284="","",'Engagement Log'!N284)</f>
        <v/>
      </c>
      <c r="G279" s="70" t="str">
        <f>IF('Engagement Log'!C284="","",'Engagement Log'!C284)</f>
        <v/>
      </c>
      <c r="H279" s="71" t="str">
        <f>IF('Engagement Log'!P284="","",'Engagement Log'!P284)</f>
        <v/>
      </c>
      <c r="I279" s="71" t="str">
        <f>IF('Engagement Log'!Q284="","",'Engagement Log'!Q284)</f>
        <v/>
      </c>
      <c r="J279" s="72" t="str">
        <f>IF('Engagement Log'!L284="","",'Engagement Log'!L284)</f>
        <v/>
      </c>
    </row>
    <row r="280" spans="1:10" x14ac:dyDescent="0.3">
      <c r="A280" s="73" t="str">
        <f>IF('Engagement Log'!O285="","",'Engagement Log'!O285)</f>
        <v/>
      </c>
      <c r="B280" s="74" t="str">
        <f ca="1">IF('Engagement Log'!O285="","",'Engagement Log'!O285-TODAY())</f>
        <v/>
      </c>
      <c r="C280" s="75" t="str">
        <f>IF('Engagement Log'!B285="","",'Engagement Log'!B285)</f>
        <v/>
      </c>
      <c r="D280" s="75" t="str">
        <f>IF('Engagement Log'!D285="","",'Engagement Log'!D285)</f>
        <v/>
      </c>
      <c r="E280" s="75" t="str">
        <f>IF('Engagement Log'!G285="","",'Engagement Log'!G285)</f>
        <v/>
      </c>
      <c r="F280" s="75" t="str">
        <f>IF('Engagement Log'!N285="","",'Engagement Log'!N285)</f>
        <v/>
      </c>
      <c r="G280" s="75" t="str">
        <f>IF('Engagement Log'!C285="","",'Engagement Log'!C285)</f>
        <v/>
      </c>
      <c r="H280" s="76" t="str">
        <f>IF('Engagement Log'!P285="","",'Engagement Log'!P285)</f>
        <v/>
      </c>
      <c r="I280" s="76" t="str">
        <f>IF('Engagement Log'!Q285="","",'Engagement Log'!Q285)</f>
        <v/>
      </c>
      <c r="J280" s="77" t="str">
        <f>IF('Engagement Log'!L285="","",'Engagement Log'!L285)</f>
        <v/>
      </c>
    </row>
    <row r="281" spans="1:10" x14ac:dyDescent="0.3">
      <c r="A281" s="68" t="str">
        <f>IF('Engagement Log'!O286="","",'Engagement Log'!O286)</f>
        <v/>
      </c>
      <c r="B281" s="69" t="str">
        <f ca="1">IF('Engagement Log'!O286="","",'Engagement Log'!O286-TODAY())</f>
        <v/>
      </c>
      <c r="C281" s="70" t="str">
        <f>IF('Engagement Log'!B286="","",'Engagement Log'!B286)</f>
        <v/>
      </c>
      <c r="D281" s="70" t="str">
        <f>IF('Engagement Log'!D286="","",'Engagement Log'!D286)</f>
        <v/>
      </c>
      <c r="E281" s="70" t="str">
        <f>IF('Engagement Log'!G286="","",'Engagement Log'!G286)</f>
        <v/>
      </c>
      <c r="F281" s="70" t="str">
        <f>IF('Engagement Log'!N286="","",'Engagement Log'!N286)</f>
        <v/>
      </c>
      <c r="G281" s="70" t="str">
        <f>IF('Engagement Log'!C286="","",'Engagement Log'!C286)</f>
        <v/>
      </c>
      <c r="H281" s="71" t="str">
        <f>IF('Engagement Log'!P286="","",'Engagement Log'!P286)</f>
        <v/>
      </c>
      <c r="I281" s="71" t="str">
        <f>IF('Engagement Log'!Q286="","",'Engagement Log'!Q286)</f>
        <v/>
      </c>
      <c r="J281" s="72" t="str">
        <f>IF('Engagement Log'!L286="","",'Engagement Log'!L286)</f>
        <v/>
      </c>
    </row>
    <row r="282" spans="1:10" x14ac:dyDescent="0.3">
      <c r="A282" s="73" t="str">
        <f>IF('Engagement Log'!O287="","",'Engagement Log'!O287)</f>
        <v/>
      </c>
      <c r="B282" s="74" t="str">
        <f ca="1">IF('Engagement Log'!O287="","",'Engagement Log'!O287-TODAY())</f>
        <v/>
      </c>
      <c r="C282" s="75" t="str">
        <f>IF('Engagement Log'!B287="","",'Engagement Log'!B287)</f>
        <v/>
      </c>
      <c r="D282" s="75" t="str">
        <f>IF('Engagement Log'!D287="","",'Engagement Log'!D287)</f>
        <v/>
      </c>
      <c r="E282" s="75" t="str">
        <f>IF('Engagement Log'!G287="","",'Engagement Log'!G287)</f>
        <v/>
      </c>
      <c r="F282" s="75" t="str">
        <f>IF('Engagement Log'!N287="","",'Engagement Log'!N287)</f>
        <v/>
      </c>
      <c r="G282" s="75" t="str">
        <f>IF('Engagement Log'!C287="","",'Engagement Log'!C287)</f>
        <v/>
      </c>
      <c r="H282" s="76" t="str">
        <f>IF('Engagement Log'!P287="","",'Engagement Log'!P287)</f>
        <v/>
      </c>
      <c r="I282" s="76" t="str">
        <f>IF('Engagement Log'!Q287="","",'Engagement Log'!Q287)</f>
        <v/>
      </c>
      <c r="J282" s="77" t="str">
        <f>IF('Engagement Log'!L287="","",'Engagement Log'!L287)</f>
        <v/>
      </c>
    </row>
    <row r="283" spans="1:10" x14ac:dyDescent="0.3">
      <c r="A283" s="68" t="str">
        <f>IF('Engagement Log'!O288="","",'Engagement Log'!O288)</f>
        <v/>
      </c>
      <c r="B283" s="69" t="str">
        <f ca="1">IF('Engagement Log'!O288="","",'Engagement Log'!O288-TODAY())</f>
        <v/>
      </c>
      <c r="C283" s="70" t="str">
        <f>IF('Engagement Log'!B288="","",'Engagement Log'!B288)</f>
        <v/>
      </c>
      <c r="D283" s="70" t="str">
        <f>IF('Engagement Log'!D288="","",'Engagement Log'!D288)</f>
        <v/>
      </c>
      <c r="E283" s="70" t="str">
        <f>IF('Engagement Log'!G288="","",'Engagement Log'!G288)</f>
        <v/>
      </c>
      <c r="F283" s="70" t="str">
        <f>IF('Engagement Log'!N288="","",'Engagement Log'!N288)</f>
        <v/>
      </c>
      <c r="G283" s="70" t="str">
        <f>IF('Engagement Log'!C288="","",'Engagement Log'!C288)</f>
        <v/>
      </c>
      <c r="H283" s="71" t="str">
        <f>IF('Engagement Log'!P288="","",'Engagement Log'!P288)</f>
        <v/>
      </c>
      <c r="I283" s="71" t="str">
        <f>IF('Engagement Log'!Q288="","",'Engagement Log'!Q288)</f>
        <v/>
      </c>
      <c r="J283" s="72" t="str">
        <f>IF('Engagement Log'!L288="","",'Engagement Log'!L288)</f>
        <v/>
      </c>
    </row>
    <row r="284" spans="1:10" x14ac:dyDescent="0.3">
      <c r="A284" s="73" t="str">
        <f>IF('Engagement Log'!O289="","",'Engagement Log'!O289)</f>
        <v/>
      </c>
      <c r="B284" s="74" t="str">
        <f ca="1">IF('Engagement Log'!O289="","",'Engagement Log'!O289-TODAY())</f>
        <v/>
      </c>
      <c r="C284" s="75" t="str">
        <f>IF('Engagement Log'!B289="","",'Engagement Log'!B289)</f>
        <v/>
      </c>
      <c r="D284" s="75" t="str">
        <f>IF('Engagement Log'!D289="","",'Engagement Log'!D289)</f>
        <v/>
      </c>
      <c r="E284" s="75" t="str">
        <f>IF('Engagement Log'!G289="","",'Engagement Log'!G289)</f>
        <v/>
      </c>
      <c r="F284" s="75" t="str">
        <f>IF('Engagement Log'!N289="","",'Engagement Log'!N289)</f>
        <v/>
      </c>
      <c r="G284" s="75" t="str">
        <f>IF('Engagement Log'!C289="","",'Engagement Log'!C289)</f>
        <v/>
      </c>
      <c r="H284" s="76" t="str">
        <f>IF('Engagement Log'!P289="","",'Engagement Log'!P289)</f>
        <v/>
      </c>
      <c r="I284" s="76" t="str">
        <f>IF('Engagement Log'!Q289="","",'Engagement Log'!Q289)</f>
        <v/>
      </c>
      <c r="J284" s="77" t="str">
        <f>IF('Engagement Log'!L289="","",'Engagement Log'!L289)</f>
        <v/>
      </c>
    </row>
    <row r="285" spans="1:10" x14ac:dyDescent="0.3">
      <c r="A285" s="68" t="str">
        <f>IF('Engagement Log'!O290="","",'Engagement Log'!O290)</f>
        <v/>
      </c>
      <c r="B285" s="69" t="str">
        <f ca="1">IF('Engagement Log'!O290="","",'Engagement Log'!O290-TODAY())</f>
        <v/>
      </c>
      <c r="C285" s="70" t="str">
        <f>IF('Engagement Log'!B290="","",'Engagement Log'!B290)</f>
        <v/>
      </c>
      <c r="D285" s="70" t="str">
        <f>IF('Engagement Log'!D290="","",'Engagement Log'!D290)</f>
        <v/>
      </c>
      <c r="E285" s="70" t="str">
        <f>IF('Engagement Log'!G290="","",'Engagement Log'!G290)</f>
        <v/>
      </c>
      <c r="F285" s="70" t="str">
        <f>IF('Engagement Log'!N290="","",'Engagement Log'!N290)</f>
        <v/>
      </c>
      <c r="G285" s="70" t="str">
        <f>IF('Engagement Log'!C290="","",'Engagement Log'!C290)</f>
        <v/>
      </c>
      <c r="H285" s="71" t="str">
        <f>IF('Engagement Log'!P290="","",'Engagement Log'!P290)</f>
        <v/>
      </c>
      <c r="I285" s="71" t="str">
        <f>IF('Engagement Log'!Q290="","",'Engagement Log'!Q290)</f>
        <v/>
      </c>
      <c r="J285" s="72" t="str">
        <f>IF('Engagement Log'!L290="","",'Engagement Log'!L290)</f>
        <v/>
      </c>
    </row>
    <row r="286" spans="1:10" x14ac:dyDescent="0.3">
      <c r="A286" s="73" t="str">
        <f>IF('Engagement Log'!O291="","",'Engagement Log'!O291)</f>
        <v/>
      </c>
      <c r="B286" s="74" t="str">
        <f ca="1">IF('Engagement Log'!O291="","",'Engagement Log'!O291-TODAY())</f>
        <v/>
      </c>
      <c r="C286" s="75" t="str">
        <f>IF('Engagement Log'!B291="","",'Engagement Log'!B291)</f>
        <v/>
      </c>
      <c r="D286" s="75" t="str">
        <f>IF('Engagement Log'!D291="","",'Engagement Log'!D291)</f>
        <v/>
      </c>
      <c r="E286" s="75" t="str">
        <f>IF('Engagement Log'!G291="","",'Engagement Log'!G291)</f>
        <v/>
      </c>
      <c r="F286" s="75" t="str">
        <f>IF('Engagement Log'!N291="","",'Engagement Log'!N291)</f>
        <v/>
      </c>
      <c r="G286" s="75" t="str">
        <f>IF('Engagement Log'!C291="","",'Engagement Log'!C291)</f>
        <v/>
      </c>
      <c r="H286" s="76" t="str">
        <f>IF('Engagement Log'!P291="","",'Engagement Log'!P291)</f>
        <v/>
      </c>
      <c r="I286" s="76" t="str">
        <f>IF('Engagement Log'!Q291="","",'Engagement Log'!Q291)</f>
        <v/>
      </c>
      <c r="J286" s="77" t="str">
        <f>IF('Engagement Log'!L291="","",'Engagement Log'!L291)</f>
        <v/>
      </c>
    </row>
    <row r="287" spans="1:10" x14ac:dyDescent="0.3">
      <c r="A287" s="68" t="str">
        <f>IF('Engagement Log'!O292="","",'Engagement Log'!O292)</f>
        <v/>
      </c>
      <c r="B287" s="69" t="str">
        <f ca="1">IF('Engagement Log'!O292="","",'Engagement Log'!O292-TODAY())</f>
        <v/>
      </c>
      <c r="C287" s="70" t="str">
        <f>IF('Engagement Log'!B292="","",'Engagement Log'!B292)</f>
        <v/>
      </c>
      <c r="D287" s="70" t="str">
        <f>IF('Engagement Log'!D292="","",'Engagement Log'!D292)</f>
        <v/>
      </c>
      <c r="E287" s="70" t="str">
        <f>IF('Engagement Log'!G292="","",'Engagement Log'!G292)</f>
        <v/>
      </c>
      <c r="F287" s="70" t="str">
        <f>IF('Engagement Log'!N292="","",'Engagement Log'!N292)</f>
        <v/>
      </c>
      <c r="G287" s="70" t="str">
        <f>IF('Engagement Log'!C292="","",'Engagement Log'!C292)</f>
        <v/>
      </c>
      <c r="H287" s="71" t="str">
        <f>IF('Engagement Log'!P292="","",'Engagement Log'!P292)</f>
        <v/>
      </c>
      <c r="I287" s="71" t="str">
        <f>IF('Engagement Log'!Q292="","",'Engagement Log'!Q292)</f>
        <v/>
      </c>
      <c r="J287" s="72" t="str">
        <f>IF('Engagement Log'!L292="","",'Engagement Log'!L292)</f>
        <v/>
      </c>
    </row>
    <row r="288" spans="1:10" x14ac:dyDescent="0.3">
      <c r="A288" s="73" t="str">
        <f>IF('Engagement Log'!O293="","",'Engagement Log'!O293)</f>
        <v/>
      </c>
      <c r="B288" s="74" t="str">
        <f ca="1">IF('Engagement Log'!O293="","",'Engagement Log'!O293-TODAY())</f>
        <v/>
      </c>
      <c r="C288" s="75" t="str">
        <f>IF('Engagement Log'!B293="","",'Engagement Log'!B293)</f>
        <v/>
      </c>
      <c r="D288" s="75" t="str">
        <f>IF('Engagement Log'!D293="","",'Engagement Log'!D293)</f>
        <v/>
      </c>
      <c r="E288" s="75" t="str">
        <f>IF('Engagement Log'!G293="","",'Engagement Log'!G293)</f>
        <v/>
      </c>
      <c r="F288" s="75" t="str">
        <f>IF('Engagement Log'!N293="","",'Engagement Log'!N293)</f>
        <v/>
      </c>
      <c r="G288" s="75" t="str">
        <f>IF('Engagement Log'!C293="","",'Engagement Log'!C293)</f>
        <v/>
      </c>
      <c r="H288" s="76" t="str">
        <f>IF('Engagement Log'!P293="","",'Engagement Log'!P293)</f>
        <v/>
      </c>
      <c r="I288" s="76" t="str">
        <f>IF('Engagement Log'!Q293="","",'Engagement Log'!Q293)</f>
        <v/>
      </c>
      <c r="J288" s="77" t="str">
        <f>IF('Engagement Log'!L293="","",'Engagement Log'!L293)</f>
        <v/>
      </c>
    </row>
    <row r="289" spans="1:10" x14ac:dyDescent="0.3">
      <c r="A289" s="68" t="str">
        <f>IF('Engagement Log'!O294="","",'Engagement Log'!O294)</f>
        <v/>
      </c>
      <c r="B289" s="69" t="str">
        <f ca="1">IF('Engagement Log'!O294="","",'Engagement Log'!O294-TODAY())</f>
        <v/>
      </c>
      <c r="C289" s="70" t="str">
        <f>IF('Engagement Log'!B294="","",'Engagement Log'!B294)</f>
        <v/>
      </c>
      <c r="D289" s="70" t="str">
        <f>IF('Engagement Log'!D294="","",'Engagement Log'!D294)</f>
        <v/>
      </c>
      <c r="E289" s="70" t="str">
        <f>IF('Engagement Log'!G294="","",'Engagement Log'!G294)</f>
        <v/>
      </c>
      <c r="F289" s="70" t="str">
        <f>IF('Engagement Log'!N294="","",'Engagement Log'!N294)</f>
        <v/>
      </c>
      <c r="G289" s="70" t="str">
        <f>IF('Engagement Log'!C294="","",'Engagement Log'!C294)</f>
        <v/>
      </c>
      <c r="H289" s="71" t="str">
        <f>IF('Engagement Log'!P294="","",'Engagement Log'!P294)</f>
        <v/>
      </c>
      <c r="I289" s="71" t="str">
        <f>IF('Engagement Log'!Q294="","",'Engagement Log'!Q294)</f>
        <v/>
      </c>
      <c r="J289" s="72" t="str">
        <f>IF('Engagement Log'!L294="","",'Engagement Log'!L294)</f>
        <v/>
      </c>
    </row>
    <row r="290" spans="1:10" x14ac:dyDescent="0.3">
      <c r="A290" s="73" t="str">
        <f>IF('Engagement Log'!O295="","",'Engagement Log'!O295)</f>
        <v/>
      </c>
      <c r="B290" s="74" t="str">
        <f ca="1">IF('Engagement Log'!O295="","",'Engagement Log'!O295-TODAY())</f>
        <v/>
      </c>
      <c r="C290" s="75" t="str">
        <f>IF('Engagement Log'!B295="","",'Engagement Log'!B295)</f>
        <v/>
      </c>
      <c r="D290" s="75" t="str">
        <f>IF('Engagement Log'!D295="","",'Engagement Log'!D295)</f>
        <v/>
      </c>
      <c r="E290" s="75" t="str">
        <f>IF('Engagement Log'!G295="","",'Engagement Log'!G295)</f>
        <v/>
      </c>
      <c r="F290" s="75" t="str">
        <f>IF('Engagement Log'!N295="","",'Engagement Log'!N295)</f>
        <v/>
      </c>
      <c r="G290" s="75" t="str">
        <f>IF('Engagement Log'!C295="","",'Engagement Log'!C295)</f>
        <v/>
      </c>
      <c r="H290" s="76" t="str">
        <f>IF('Engagement Log'!P295="","",'Engagement Log'!P295)</f>
        <v/>
      </c>
      <c r="I290" s="76" t="str">
        <f>IF('Engagement Log'!Q295="","",'Engagement Log'!Q295)</f>
        <v/>
      </c>
      <c r="J290" s="77" t="str">
        <f>IF('Engagement Log'!L295="","",'Engagement Log'!L295)</f>
        <v/>
      </c>
    </row>
    <row r="291" spans="1:10" x14ac:dyDescent="0.3">
      <c r="A291" s="68" t="str">
        <f>IF('Engagement Log'!O296="","",'Engagement Log'!O296)</f>
        <v/>
      </c>
      <c r="B291" s="69" t="str">
        <f ca="1">IF('Engagement Log'!O296="","",'Engagement Log'!O296-TODAY())</f>
        <v/>
      </c>
      <c r="C291" s="70" t="str">
        <f>IF('Engagement Log'!B296="","",'Engagement Log'!B296)</f>
        <v/>
      </c>
      <c r="D291" s="70" t="str">
        <f>IF('Engagement Log'!D296="","",'Engagement Log'!D296)</f>
        <v/>
      </c>
      <c r="E291" s="70" t="str">
        <f>IF('Engagement Log'!G296="","",'Engagement Log'!G296)</f>
        <v/>
      </c>
      <c r="F291" s="70" t="str">
        <f>IF('Engagement Log'!N296="","",'Engagement Log'!N296)</f>
        <v/>
      </c>
      <c r="G291" s="70" t="str">
        <f>IF('Engagement Log'!C296="","",'Engagement Log'!C296)</f>
        <v/>
      </c>
      <c r="H291" s="71" t="str">
        <f>IF('Engagement Log'!P296="","",'Engagement Log'!P296)</f>
        <v/>
      </c>
      <c r="I291" s="71" t="str">
        <f>IF('Engagement Log'!Q296="","",'Engagement Log'!Q296)</f>
        <v/>
      </c>
      <c r="J291" s="72" t="str">
        <f>IF('Engagement Log'!L296="","",'Engagement Log'!L296)</f>
        <v/>
      </c>
    </row>
    <row r="292" spans="1:10" x14ac:dyDescent="0.3">
      <c r="A292" s="73" t="str">
        <f>IF('Engagement Log'!O297="","",'Engagement Log'!O297)</f>
        <v/>
      </c>
      <c r="B292" s="74" t="str">
        <f ca="1">IF('Engagement Log'!O297="","",'Engagement Log'!O297-TODAY())</f>
        <v/>
      </c>
      <c r="C292" s="75" t="str">
        <f>IF('Engagement Log'!B297="","",'Engagement Log'!B297)</f>
        <v/>
      </c>
      <c r="D292" s="75" t="str">
        <f>IF('Engagement Log'!D297="","",'Engagement Log'!D297)</f>
        <v/>
      </c>
      <c r="E292" s="75" t="str">
        <f>IF('Engagement Log'!G297="","",'Engagement Log'!G297)</f>
        <v/>
      </c>
      <c r="F292" s="75" t="str">
        <f>IF('Engagement Log'!N297="","",'Engagement Log'!N297)</f>
        <v/>
      </c>
      <c r="G292" s="75" t="str">
        <f>IF('Engagement Log'!C297="","",'Engagement Log'!C297)</f>
        <v/>
      </c>
      <c r="H292" s="76" t="str">
        <f>IF('Engagement Log'!P297="","",'Engagement Log'!P297)</f>
        <v/>
      </c>
      <c r="I292" s="76" t="str">
        <f>IF('Engagement Log'!Q297="","",'Engagement Log'!Q297)</f>
        <v/>
      </c>
      <c r="J292" s="77" t="str">
        <f>IF('Engagement Log'!L297="","",'Engagement Log'!L297)</f>
        <v/>
      </c>
    </row>
    <row r="293" spans="1:10" x14ac:dyDescent="0.3">
      <c r="A293" s="68" t="str">
        <f>IF('Engagement Log'!O298="","",'Engagement Log'!O298)</f>
        <v/>
      </c>
      <c r="B293" s="69" t="str">
        <f ca="1">IF('Engagement Log'!O298="","",'Engagement Log'!O298-TODAY())</f>
        <v/>
      </c>
      <c r="C293" s="70" t="str">
        <f>IF('Engagement Log'!B298="","",'Engagement Log'!B298)</f>
        <v/>
      </c>
      <c r="D293" s="70" t="str">
        <f>IF('Engagement Log'!D298="","",'Engagement Log'!D298)</f>
        <v/>
      </c>
      <c r="E293" s="70" t="str">
        <f>IF('Engagement Log'!G298="","",'Engagement Log'!G298)</f>
        <v/>
      </c>
      <c r="F293" s="70" t="str">
        <f>IF('Engagement Log'!N298="","",'Engagement Log'!N298)</f>
        <v/>
      </c>
      <c r="G293" s="70" t="str">
        <f>IF('Engagement Log'!C298="","",'Engagement Log'!C298)</f>
        <v/>
      </c>
      <c r="H293" s="71" t="str">
        <f>IF('Engagement Log'!P298="","",'Engagement Log'!P298)</f>
        <v/>
      </c>
      <c r="I293" s="71" t="str">
        <f>IF('Engagement Log'!Q298="","",'Engagement Log'!Q298)</f>
        <v/>
      </c>
      <c r="J293" s="72" t="str">
        <f>IF('Engagement Log'!L298="","",'Engagement Log'!L298)</f>
        <v/>
      </c>
    </row>
    <row r="294" spans="1:10" x14ac:dyDescent="0.3">
      <c r="A294" s="73" t="str">
        <f>IF('Engagement Log'!O299="","",'Engagement Log'!O299)</f>
        <v/>
      </c>
      <c r="B294" s="74" t="str">
        <f ca="1">IF('Engagement Log'!O299="","",'Engagement Log'!O299-TODAY())</f>
        <v/>
      </c>
      <c r="C294" s="75" t="str">
        <f>IF('Engagement Log'!B299="","",'Engagement Log'!B299)</f>
        <v/>
      </c>
      <c r="D294" s="75" t="str">
        <f>IF('Engagement Log'!D299="","",'Engagement Log'!D299)</f>
        <v/>
      </c>
      <c r="E294" s="75" t="str">
        <f>IF('Engagement Log'!G299="","",'Engagement Log'!G299)</f>
        <v/>
      </c>
      <c r="F294" s="75" t="str">
        <f>IF('Engagement Log'!N299="","",'Engagement Log'!N299)</f>
        <v/>
      </c>
      <c r="G294" s="75" t="str">
        <f>IF('Engagement Log'!C299="","",'Engagement Log'!C299)</f>
        <v/>
      </c>
      <c r="H294" s="76" t="str">
        <f>IF('Engagement Log'!P299="","",'Engagement Log'!P299)</f>
        <v/>
      </c>
      <c r="I294" s="76" t="str">
        <f>IF('Engagement Log'!Q299="","",'Engagement Log'!Q299)</f>
        <v/>
      </c>
      <c r="J294" s="77" t="str">
        <f>IF('Engagement Log'!L299="","",'Engagement Log'!L299)</f>
        <v/>
      </c>
    </row>
    <row r="295" spans="1:10" x14ac:dyDescent="0.3">
      <c r="A295" s="68" t="str">
        <f>IF('Engagement Log'!O300="","",'Engagement Log'!O300)</f>
        <v/>
      </c>
      <c r="B295" s="69" t="str">
        <f ca="1">IF('Engagement Log'!O300="","",'Engagement Log'!O300-TODAY())</f>
        <v/>
      </c>
      <c r="C295" s="70" t="str">
        <f>IF('Engagement Log'!B300="","",'Engagement Log'!B300)</f>
        <v/>
      </c>
      <c r="D295" s="70" t="str">
        <f>IF('Engagement Log'!D300="","",'Engagement Log'!D300)</f>
        <v/>
      </c>
      <c r="E295" s="70" t="str">
        <f>IF('Engagement Log'!G300="","",'Engagement Log'!G300)</f>
        <v/>
      </c>
      <c r="F295" s="70" t="str">
        <f>IF('Engagement Log'!N300="","",'Engagement Log'!N300)</f>
        <v/>
      </c>
      <c r="G295" s="70" t="str">
        <f>IF('Engagement Log'!C300="","",'Engagement Log'!C300)</f>
        <v/>
      </c>
      <c r="H295" s="71" t="str">
        <f>IF('Engagement Log'!P300="","",'Engagement Log'!P300)</f>
        <v/>
      </c>
      <c r="I295" s="71" t="str">
        <f>IF('Engagement Log'!Q300="","",'Engagement Log'!Q300)</f>
        <v/>
      </c>
      <c r="J295" s="72" t="str">
        <f>IF('Engagement Log'!L300="","",'Engagement Log'!L300)</f>
        <v/>
      </c>
    </row>
    <row r="296" spans="1:10" x14ac:dyDescent="0.3">
      <c r="A296" s="73" t="str">
        <f>IF('Engagement Log'!O301="","",'Engagement Log'!O301)</f>
        <v/>
      </c>
      <c r="B296" s="74" t="str">
        <f ca="1">IF('Engagement Log'!O301="","",'Engagement Log'!O301-TODAY())</f>
        <v/>
      </c>
      <c r="C296" s="75" t="str">
        <f>IF('Engagement Log'!B301="","",'Engagement Log'!B301)</f>
        <v/>
      </c>
      <c r="D296" s="75" t="str">
        <f>IF('Engagement Log'!D301="","",'Engagement Log'!D301)</f>
        <v/>
      </c>
      <c r="E296" s="75" t="str">
        <f>IF('Engagement Log'!G301="","",'Engagement Log'!G301)</f>
        <v/>
      </c>
      <c r="F296" s="75" t="str">
        <f>IF('Engagement Log'!N301="","",'Engagement Log'!N301)</f>
        <v/>
      </c>
      <c r="G296" s="75" t="str">
        <f>IF('Engagement Log'!C301="","",'Engagement Log'!C301)</f>
        <v/>
      </c>
      <c r="H296" s="76" t="str">
        <f>IF('Engagement Log'!P301="","",'Engagement Log'!P301)</f>
        <v/>
      </c>
      <c r="I296" s="76" t="str">
        <f>IF('Engagement Log'!Q301="","",'Engagement Log'!Q301)</f>
        <v/>
      </c>
      <c r="J296" s="77" t="str">
        <f>IF('Engagement Log'!L301="","",'Engagement Log'!L301)</f>
        <v/>
      </c>
    </row>
    <row r="297" spans="1:10" x14ac:dyDescent="0.3">
      <c r="A297" s="68" t="str">
        <f>IF('Engagement Log'!O302="","",'Engagement Log'!O302)</f>
        <v/>
      </c>
      <c r="B297" s="69" t="str">
        <f ca="1">IF('Engagement Log'!O302="","",'Engagement Log'!O302-TODAY())</f>
        <v/>
      </c>
      <c r="C297" s="70" t="str">
        <f>IF('Engagement Log'!B302="","",'Engagement Log'!B302)</f>
        <v/>
      </c>
      <c r="D297" s="70" t="str">
        <f>IF('Engagement Log'!D302="","",'Engagement Log'!D302)</f>
        <v/>
      </c>
      <c r="E297" s="70" t="str">
        <f>IF('Engagement Log'!G302="","",'Engagement Log'!G302)</f>
        <v/>
      </c>
      <c r="F297" s="70" t="str">
        <f>IF('Engagement Log'!N302="","",'Engagement Log'!N302)</f>
        <v/>
      </c>
      <c r="G297" s="70" t="str">
        <f>IF('Engagement Log'!C302="","",'Engagement Log'!C302)</f>
        <v/>
      </c>
      <c r="H297" s="71" t="str">
        <f>IF('Engagement Log'!P302="","",'Engagement Log'!P302)</f>
        <v/>
      </c>
      <c r="I297" s="71" t="str">
        <f>IF('Engagement Log'!Q302="","",'Engagement Log'!Q302)</f>
        <v/>
      </c>
      <c r="J297" s="72" t="str">
        <f>IF('Engagement Log'!L302="","",'Engagement Log'!L302)</f>
        <v/>
      </c>
    </row>
    <row r="298" spans="1:10" x14ac:dyDescent="0.3">
      <c r="A298" s="73" t="str">
        <f>IF('Engagement Log'!O303="","",'Engagement Log'!O303)</f>
        <v/>
      </c>
      <c r="B298" s="74" t="str">
        <f ca="1">IF('Engagement Log'!O303="","",'Engagement Log'!O303-TODAY())</f>
        <v/>
      </c>
      <c r="C298" s="75" t="str">
        <f>IF('Engagement Log'!B303="","",'Engagement Log'!B303)</f>
        <v/>
      </c>
      <c r="D298" s="75" t="str">
        <f>IF('Engagement Log'!D303="","",'Engagement Log'!D303)</f>
        <v/>
      </c>
      <c r="E298" s="75" t="str">
        <f>IF('Engagement Log'!G303="","",'Engagement Log'!G303)</f>
        <v/>
      </c>
      <c r="F298" s="75" t="str">
        <f>IF('Engagement Log'!N303="","",'Engagement Log'!N303)</f>
        <v/>
      </c>
      <c r="G298" s="75" t="str">
        <f>IF('Engagement Log'!C303="","",'Engagement Log'!C303)</f>
        <v/>
      </c>
      <c r="H298" s="76" t="str">
        <f>IF('Engagement Log'!P303="","",'Engagement Log'!P303)</f>
        <v/>
      </c>
      <c r="I298" s="76" t="str">
        <f>IF('Engagement Log'!Q303="","",'Engagement Log'!Q303)</f>
        <v/>
      </c>
      <c r="J298" s="77" t="str">
        <f>IF('Engagement Log'!L303="","",'Engagement Log'!L303)</f>
        <v/>
      </c>
    </row>
    <row r="299" spans="1:10" x14ac:dyDescent="0.3">
      <c r="A299" s="68" t="str">
        <f>IF('Engagement Log'!O304="","",'Engagement Log'!O304)</f>
        <v/>
      </c>
      <c r="B299" s="69" t="str">
        <f ca="1">IF('Engagement Log'!O304="","",'Engagement Log'!O304-TODAY())</f>
        <v/>
      </c>
      <c r="C299" s="70" t="str">
        <f>IF('Engagement Log'!B304="","",'Engagement Log'!B304)</f>
        <v/>
      </c>
      <c r="D299" s="70" t="str">
        <f>IF('Engagement Log'!D304="","",'Engagement Log'!D304)</f>
        <v/>
      </c>
      <c r="E299" s="70" t="str">
        <f>IF('Engagement Log'!G304="","",'Engagement Log'!G304)</f>
        <v/>
      </c>
      <c r="F299" s="70" t="str">
        <f>IF('Engagement Log'!N304="","",'Engagement Log'!N304)</f>
        <v/>
      </c>
      <c r="G299" s="70" t="str">
        <f>IF('Engagement Log'!C304="","",'Engagement Log'!C304)</f>
        <v/>
      </c>
      <c r="H299" s="71" t="str">
        <f>IF('Engagement Log'!P304="","",'Engagement Log'!P304)</f>
        <v/>
      </c>
      <c r="I299" s="71" t="str">
        <f>IF('Engagement Log'!Q304="","",'Engagement Log'!Q304)</f>
        <v/>
      </c>
      <c r="J299" s="72" t="str">
        <f>IF('Engagement Log'!L304="","",'Engagement Log'!L304)</f>
        <v/>
      </c>
    </row>
    <row r="300" spans="1:10" x14ac:dyDescent="0.3">
      <c r="A300" s="73" t="str">
        <f>IF('Engagement Log'!O305="","",'Engagement Log'!O305)</f>
        <v/>
      </c>
      <c r="B300" s="74" t="str">
        <f ca="1">IF('Engagement Log'!O305="","",'Engagement Log'!O305-TODAY())</f>
        <v/>
      </c>
      <c r="C300" s="75" t="str">
        <f>IF('Engagement Log'!B305="","",'Engagement Log'!B305)</f>
        <v/>
      </c>
      <c r="D300" s="75" t="str">
        <f>IF('Engagement Log'!D305="","",'Engagement Log'!D305)</f>
        <v/>
      </c>
      <c r="E300" s="75" t="str">
        <f>IF('Engagement Log'!G305="","",'Engagement Log'!G305)</f>
        <v/>
      </c>
      <c r="F300" s="75" t="str">
        <f>IF('Engagement Log'!N305="","",'Engagement Log'!N305)</f>
        <v/>
      </c>
      <c r="G300" s="75" t="str">
        <f>IF('Engagement Log'!C305="","",'Engagement Log'!C305)</f>
        <v/>
      </c>
      <c r="H300" s="76" t="str">
        <f>IF('Engagement Log'!P305="","",'Engagement Log'!P305)</f>
        <v/>
      </c>
      <c r="I300" s="76" t="str">
        <f>IF('Engagement Log'!Q305="","",'Engagement Log'!Q305)</f>
        <v/>
      </c>
      <c r="J300" s="77" t="str">
        <f>IF('Engagement Log'!L305="","",'Engagement Log'!L305)</f>
        <v/>
      </c>
    </row>
    <row r="301" spans="1:10" x14ac:dyDescent="0.3">
      <c r="A301" s="68" t="str">
        <f>IF('Engagement Log'!O306="","",'Engagement Log'!O306)</f>
        <v/>
      </c>
      <c r="B301" s="69" t="str">
        <f ca="1">IF('Engagement Log'!O306="","",'Engagement Log'!O306-TODAY())</f>
        <v/>
      </c>
      <c r="C301" s="70" t="str">
        <f>IF('Engagement Log'!B306="","",'Engagement Log'!B306)</f>
        <v/>
      </c>
      <c r="D301" s="70" t="str">
        <f>IF('Engagement Log'!D306="","",'Engagement Log'!D306)</f>
        <v/>
      </c>
      <c r="E301" s="70" t="str">
        <f>IF('Engagement Log'!G306="","",'Engagement Log'!G306)</f>
        <v/>
      </c>
      <c r="F301" s="70" t="str">
        <f>IF('Engagement Log'!N306="","",'Engagement Log'!N306)</f>
        <v/>
      </c>
      <c r="G301" s="70" t="str">
        <f>IF('Engagement Log'!C306="","",'Engagement Log'!C306)</f>
        <v/>
      </c>
      <c r="H301" s="71" t="str">
        <f>IF('Engagement Log'!P306="","",'Engagement Log'!P306)</f>
        <v/>
      </c>
      <c r="I301" s="71" t="str">
        <f>IF('Engagement Log'!Q306="","",'Engagement Log'!Q306)</f>
        <v/>
      </c>
      <c r="J301" s="72" t="str">
        <f>IF('Engagement Log'!L306="","",'Engagement Log'!L306)</f>
        <v/>
      </c>
    </row>
    <row r="302" spans="1:10" x14ac:dyDescent="0.3">
      <c r="A302" s="73" t="str">
        <f>IF('Engagement Log'!O307="","",'Engagement Log'!O307)</f>
        <v/>
      </c>
      <c r="B302" s="74" t="str">
        <f ca="1">IF('Engagement Log'!O307="","",'Engagement Log'!O307-TODAY())</f>
        <v/>
      </c>
      <c r="C302" s="75" t="str">
        <f>IF('Engagement Log'!B307="","",'Engagement Log'!B307)</f>
        <v/>
      </c>
      <c r="D302" s="75" t="str">
        <f>IF('Engagement Log'!D307="","",'Engagement Log'!D307)</f>
        <v/>
      </c>
      <c r="E302" s="75" t="str">
        <f>IF('Engagement Log'!G307="","",'Engagement Log'!G307)</f>
        <v/>
      </c>
      <c r="F302" s="75" t="str">
        <f>IF('Engagement Log'!N307="","",'Engagement Log'!N307)</f>
        <v/>
      </c>
      <c r="G302" s="75" t="str">
        <f>IF('Engagement Log'!C307="","",'Engagement Log'!C307)</f>
        <v/>
      </c>
      <c r="H302" s="76" t="str">
        <f>IF('Engagement Log'!P307="","",'Engagement Log'!P307)</f>
        <v/>
      </c>
      <c r="I302" s="76" t="str">
        <f>IF('Engagement Log'!Q307="","",'Engagement Log'!Q307)</f>
        <v/>
      </c>
      <c r="J302" s="77" t="str">
        <f>IF('Engagement Log'!L307="","",'Engagement Log'!L307)</f>
        <v/>
      </c>
    </row>
    <row r="303" spans="1:10" x14ac:dyDescent="0.3">
      <c r="A303" s="68" t="str">
        <f>IF('Engagement Log'!O308="","",'Engagement Log'!O308)</f>
        <v/>
      </c>
      <c r="B303" s="69" t="str">
        <f ca="1">IF('Engagement Log'!O308="","",'Engagement Log'!O308-TODAY())</f>
        <v/>
      </c>
      <c r="C303" s="70" t="str">
        <f>IF('Engagement Log'!B308="","",'Engagement Log'!B308)</f>
        <v/>
      </c>
      <c r="D303" s="70" t="str">
        <f>IF('Engagement Log'!D308="","",'Engagement Log'!D308)</f>
        <v/>
      </c>
      <c r="E303" s="70" t="str">
        <f>IF('Engagement Log'!G308="","",'Engagement Log'!G308)</f>
        <v/>
      </c>
      <c r="F303" s="70" t="str">
        <f>IF('Engagement Log'!N308="","",'Engagement Log'!N308)</f>
        <v/>
      </c>
      <c r="G303" s="70" t="str">
        <f>IF('Engagement Log'!C308="","",'Engagement Log'!C308)</f>
        <v/>
      </c>
      <c r="H303" s="71" t="str">
        <f>IF('Engagement Log'!P308="","",'Engagement Log'!P308)</f>
        <v/>
      </c>
      <c r="I303" s="71" t="str">
        <f>IF('Engagement Log'!Q308="","",'Engagement Log'!Q308)</f>
        <v/>
      </c>
      <c r="J303" s="72" t="str">
        <f>IF('Engagement Log'!L308="","",'Engagement Log'!L308)</f>
        <v/>
      </c>
    </row>
    <row r="304" spans="1:10" x14ac:dyDescent="0.3">
      <c r="A304" s="73" t="str">
        <f>IF('Engagement Log'!O309="","",'Engagement Log'!O309)</f>
        <v/>
      </c>
      <c r="B304" s="74" t="str">
        <f ca="1">IF('Engagement Log'!O309="","",'Engagement Log'!O309-TODAY())</f>
        <v/>
      </c>
      <c r="C304" s="75" t="str">
        <f>IF('Engagement Log'!B309="","",'Engagement Log'!B309)</f>
        <v/>
      </c>
      <c r="D304" s="75" t="str">
        <f>IF('Engagement Log'!D309="","",'Engagement Log'!D309)</f>
        <v/>
      </c>
      <c r="E304" s="75" t="str">
        <f>IF('Engagement Log'!G309="","",'Engagement Log'!G309)</f>
        <v/>
      </c>
      <c r="F304" s="75" t="str">
        <f>IF('Engagement Log'!N309="","",'Engagement Log'!N309)</f>
        <v/>
      </c>
      <c r="G304" s="75" t="str">
        <f>IF('Engagement Log'!C309="","",'Engagement Log'!C309)</f>
        <v/>
      </c>
      <c r="H304" s="76" t="str">
        <f>IF('Engagement Log'!P309="","",'Engagement Log'!P309)</f>
        <v/>
      </c>
      <c r="I304" s="76" t="str">
        <f>IF('Engagement Log'!Q309="","",'Engagement Log'!Q309)</f>
        <v/>
      </c>
      <c r="J304" s="77" t="str">
        <f>IF('Engagement Log'!L309="","",'Engagement Log'!L309)</f>
        <v/>
      </c>
    </row>
    <row r="305" spans="1:10" x14ac:dyDescent="0.3">
      <c r="A305" s="68" t="str">
        <f>IF('Engagement Log'!O310="","",'Engagement Log'!O310)</f>
        <v/>
      </c>
      <c r="B305" s="69" t="str">
        <f ca="1">IF('Engagement Log'!O310="","",'Engagement Log'!O310-TODAY())</f>
        <v/>
      </c>
      <c r="C305" s="70" t="str">
        <f>IF('Engagement Log'!B310="","",'Engagement Log'!B310)</f>
        <v/>
      </c>
      <c r="D305" s="70" t="str">
        <f>IF('Engagement Log'!D310="","",'Engagement Log'!D310)</f>
        <v/>
      </c>
      <c r="E305" s="70" t="str">
        <f>IF('Engagement Log'!G310="","",'Engagement Log'!G310)</f>
        <v/>
      </c>
      <c r="F305" s="70" t="str">
        <f>IF('Engagement Log'!N310="","",'Engagement Log'!N310)</f>
        <v/>
      </c>
      <c r="G305" s="70" t="str">
        <f>IF('Engagement Log'!C310="","",'Engagement Log'!C310)</f>
        <v/>
      </c>
      <c r="H305" s="71" t="str">
        <f>IF('Engagement Log'!P310="","",'Engagement Log'!P310)</f>
        <v/>
      </c>
      <c r="I305" s="71" t="str">
        <f>IF('Engagement Log'!Q310="","",'Engagement Log'!Q310)</f>
        <v/>
      </c>
      <c r="J305" s="72" t="str">
        <f>IF('Engagement Log'!L310="","",'Engagement Log'!L310)</f>
        <v/>
      </c>
    </row>
    <row r="306" spans="1:10" x14ac:dyDescent="0.3">
      <c r="A306" s="73" t="str">
        <f>IF('Engagement Log'!O311="","",'Engagement Log'!O311)</f>
        <v/>
      </c>
      <c r="B306" s="74" t="str">
        <f ca="1">IF('Engagement Log'!O311="","",'Engagement Log'!O311-TODAY())</f>
        <v/>
      </c>
      <c r="C306" s="75" t="str">
        <f>IF('Engagement Log'!B311="","",'Engagement Log'!B311)</f>
        <v/>
      </c>
      <c r="D306" s="75" t="str">
        <f>IF('Engagement Log'!D311="","",'Engagement Log'!D311)</f>
        <v/>
      </c>
      <c r="E306" s="75" t="str">
        <f>IF('Engagement Log'!G311="","",'Engagement Log'!G311)</f>
        <v/>
      </c>
      <c r="F306" s="75" t="str">
        <f>IF('Engagement Log'!N311="","",'Engagement Log'!N311)</f>
        <v/>
      </c>
      <c r="G306" s="75" t="str">
        <f>IF('Engagement Log'!C311="","",'Engagement Log'!C311)</f>
        <v/>
      </c>
      <c r="H306" s="76" t="str">
        <f>IF('Engagement Log'!P311="","",'Engagement Log'!P311)</f>
        <v/>
      </c>
      <c r="I306" s="76" t="str">
        <f>IF('Engagement Log'!Q311="","",'Engagement Log'!Q311)</f>
        <v/>
      </c>
      <c r="J306" s="77" t="str">
        <f>IF('Engagement Log'!L311="","",'Engagement Log'!L311)</f>
        <v/>
      </c>
    </row>
    <row r="307" spans="1:10" x14ac:dyDescent="0.3">
      <c r="A307" s="68" t="str">
        <f>IF('Engagement Log'!O312="","",'Engagement Log'!O312)</f>
        <v/>
      </c>
      <c r="B307" s="69" t="str">
        <f ca="1">IF('Engagement Log'!O312="","",'Engagement Log'!O312-TODAY())</f>
        <v/>
      </c>
      <c r="C307" s="70" t="str">
        <f>IF('Engagement Log'!B312="","",'Engagement Log'!B312)</f>
        <v/>
      </c>
      <c r="D307" s="70" t="str">
        <f>IF('Engagement Log'!D312="","",'Engagement Log'!D312)</f>
        <v/>
      </c>
      <c r="E307" s="70" t="str">
        <f>IF('Engagement Log'!G312="","",'Engagement Log'!G312)</f>
        <v/>
      </c>
      <c r="F307" s="70" t="str">
        <f>IF('Engagement Log'!N312="","",'Engagement Log'!N312)</f>
        <v/>
      </c>
      <c r="G307" s="70" t="str">
        <f>IF('Engagement Log'!C312="","",'Engagement Log'!C312)</f>
        <v/>
      </c>
      <c r="H307" s="71" t="str">
        <f>IF('Engagement Log'!P312="","",'Engagement Log'!P312)</f>
        <v/>
      </c>
      <c r="I307" s="71" t="str">
        <f>IF('Engagement Log'!Q312="","",'Engagement Log'!Q312)</f>
        <v/>
      </c>
      <c r="J307" s="72" t="str">
        <f>IF('Engagement Log'!L312="","",'Engagement Log'!L312)</f>
        <v/>
      </c>
    </row>
    <row r="308" spans="1:10" x14ac:dyDescent="0.3">
      <c r="A308" s="73" t="str">
        <f>IF('Engagement Log'!O313="","",'Engagement Log'!O313)</f>
        <v/>
      </c>
      <c r="B308" s="74" t="str">
        <f ca="1">IF('Engagement Log'!O313="","",'Engagement Log'!O313-TODAY())</f>
        <v/>
      </c>
      <c r="C308" s="75" t="str">
        <f>IF('Engagement Log'!B313="","",'Engagement Log'!B313)</f>
        <v/>
      </c>
      <c r="D308" s="75" t="str">
        <f>IF('Engagement Log'!D313="","",'Engagement Log'!D313)</f>
        <v/>
      </c>
      <c r="E308" s="75" t="str">
        <f>IF('Engagement Log'!G313="","",'Engagement Log'!G313)</f>
        <v/>
      </c>
      <c r="F308" s="75" t="str">
        <f>IF('Engagement Log'!N313="","",'Engagement Log'!N313)</f>
        <v/>
      </c>
      <c r="G308" s="75" t="str">
        <f>IF('Engagement Log'!C313="","",'Engagement Log'!C313)</f>
        <v/>
      </c>
      <c r="H308" s="76" t="str">
        <f>IF('Engagement Log'!P313="","",'Engagement Log'!P313)</f>
        <v/>
      </c>
      <c r="I308" s="76" t="str">
        <f>IF('Engagement Log'!Q313="","",'Engagement Log'!Q313)</f>
        <v/>
      </c>
      <c r="J308" s="77" t="str">
        <f>IF('Engagement Log'!L313="","",'Engagement Log'!L313)</f>
        <v/>
      </c>
    </row>
    <row r="309" spans="1:10" x14ac:dyDescent="0.3">
      <c r="A309" s="68" t="str">
        <f>IF('Engagement Log'!O314="","",'Engagement Log'!O314)</f>
        <v/>
      </c>
      <c r="B309" s="69" t="str">
        <f ca="1">IF('Engagement Log'!O314="","",'Engagement Log'!O314-TODAY())</f>
        <v/>
      </c>
      <c r="C309" s="70" t="str">
        <f>IF('Engagement Log'!B314="","",'Engagement Log'!B314)</f>
        <v/>
      </c>
      <c r="D309" s="70" t="str">
        <f>IF('Engagement Log'!D314="","",'Engagement Log'!D314)</f>
        <v/>
      </c>
      <c r="E309" s="70" t="str">
        <f>IF('Engagement Log'!G314="","",'Engagement Log'!G314)</f>
        <v/>
      </c>
      <c r="F309" s="70" t="str">
        <f>IF('Engagement Log'!N314="","",'Engagement Log'!N314)</f>
        <v/>
      </c>
      <c r="G309" s="70" t="str">
        <f>IF('Engagement Log'!C314="","",'Engagement Log'!C314)</f>
        <v/>
      </c>
      <c r="H309" s="71" t="str">
        <f>IF('Engagement Log'!P314="","",'Engagement Log'!P314)</f>
        <v/>
      </c>
      <c r="I309" s="71" t="str">
        <f>IF('Engagement Log'!Q314="","",'Engagement Log'!Q314)</f>
        <v/>
      </c>
      <c r="J309" s="72" t="str">
        <f>IF('Engagement Log'!L314="","",'Engagement Log'!L314)</f>
        <v/>
      </c>
    </row>
    <row r="310" spans="1:10" x14ac:dyDescent="0.3">
      <c r="A310" s="73" t="str">
        <f>IF('Engagement Log'!O315="","",'Engagement Log'!O315)</f>
        <v/>
      </c>
      <c r="B310" s="74" t="str">
        <f ca="1">IF('Engagement Log'!O315="","",'Engagement Log'!O315-TODAY())</f>
        <v/>
      </c>
      <c r="C310" s="75" t="str">
        <f>IF('Engagement Log'!B315="","",'Engagement Log'!B315)</f>
        <v/>
      </c>
      <c r="D310" s="75" t="str">
        <f>IF('Engagement Log'!D315="","",'Engagement Log'!D315)</f>
        <v/>
      </c>
      <c r="E310" s="75" t="str">
        <f>IF('Engagement Log'!G315="","",'Engagement Log'!G315)</f>
        <v/>
      </c>
      <c r="F310" s="75" t="str">
        <f>IF('Engagement Log'!N315="","",'Engagement Log'!N315)</f>
        <v/>
      </c>
      <c r="G310" s="75" t="str">
        <f>IF('Engagement Log'!C315="","",'Engagement Log'!C315)</f>
        <v/>
      </c>
      <c r="H310" s="76" t="str">
        <f>IF('Engagement Log'!P315="","",'Engagement Log'!P315)</f>
        <v/>
      </c>
      <c r="I310" s="76" t="str">
        <f>IF('Engagement Log'!Q315="","",'Engagement Log'!Q315)</f>
        <v/>
      </c>
      <c r="J310" s="77" t="str">
        <f>IF('Engagement Log'!L315="","",'Engagement Log'!L315)</f>
        <v/>
      </c>
    </row>
    <row r="311" spans="1:10" x14ac:dyDescent="0.3">
      <c r="A311" s="68" t="str">
        <f>IF('Engagement Log'!O316="","",'Engagement Log'!O316)</f>
        <v/>
      </c>
      <c r="B311" s="69" t="str">
        <f ca="1">IF('Engagement Log'!O316="","",'Engagement Log'!O316-TODAY())</f>
        <v/>
      </c>
      <c r="C311" s="70" t="str">
        <f>IF('Engagement Log'!B316="","",'Engagement Log'!B316)</f>
        <v/>
      </c>
      <c r="D311" s="70" t="str">
        <f>IF('Engagement Log'!D316="","",'Engagement Log'!D316)</f>
        <v/>
      </c>
      <c r="E311" s="70" t="str">
        <f>IF('Engagement Log'!G316="","",'Engagement Log'!G316)</f>
        <v/>
      </c>
      <c r="F311" s="70" t="str">
        <f>IF('Engagement Log'!N316="","",'Engagement Log'!N316)</f>
        <v/>
      </c>
      <c r="G311" s="70" t="str">
        <f>IF('Engagement Log'!C316="","",'Engagement Log'!C316)</f>
        <v/>
      </c>
      <c r="H311" s="71" t="str">
        <f>IF('Engagement Log'!P316="","",'Engagement Log'!P316)</f>
        <v/>
      </c>
      <c r="I311" s="71" t="str">
        <f>IF('Engagement Log'!Q316="","",'Engagement Log'!Q316)</f>
        <v/>
      </c>
      <c r="J311" s="72" t="str">
        <f>IF('Engagement Log'!L316="","",'Engagement Log'!L316)</f>
        <v/>
      </c>
    </row>
    <row r="312" spans="1:10" x14ac:dyDescent="0.3">
      <c r="A312" s="73" t="str">
        <f>IF('Engagement Log'!O317="","",'Engagement Log'!O317)</f>
        <v/>
      </c>
      <c r="B312" s="74" t="str">
        <f ca="1">IF('Engagement Log'!O317="","",'Engagement Log'!O317-TODAY())</f>
        <v/>
      </c>
      <c r="C312" s="75" t="str">
        <f>IF('Engagement Log'!B317="","",'Engagement Log'!B317)</f>
        <v/>
      </c>
      <c r="D312" s="75" t="str">
        <f>IF('Engagement Log'!D317="","",'Engagement Log'!D317)</f>
        <v/>
      </c>
      <c r="E312" s="75" t="str">
        <f>IF('Engagement Log'!G317="","",'Engagement Log'!G317)</f>
        <v/>
      </c>
      <c r="F312" s="75" t="str">
        <f>IF('Engagement Log'!N317="","",'Engagement Log'!N317)</f>
        <v/>
      </c>
      <c r="G312" s="75" t="str">
        <f>IF('Engagement Log'!C317="","",'Engagement Log'!C317)</f>
        <v/>
      </c>
      <c r="H312" s="76" t="str">
        <f>IF('Engagement Log'!P317="","",'Engagement Log'!P317)</f>
        <v/>
      </c>
      <c r="I312" s="76" t="str">
        <f>IF('Engagement Log'!Q317="","",'Engagement Log'!Q317)</f>
        <v/>
      </c>
      <c r="J312" s="77" t="str">
        <f>IF('Engagement Log'!L317="","",'Engagement Log'!L317)</f>
        <v/>
      </c>
    </row>
    <row r="313" spans="1:10" x14ac:dyDescent="0.3">
      <c r="A313" s="68" t="str">
        <f>IF('Engagement Log'!O318="","",'Engagement Log'!O318)</f>
        <v/>
      </c>
      <c r="B313" s="69" t="str">
        <f ca="1">IF('Engagement Log'!O318="","",'Engagement Log'!O318-TODAY())</f>
        <v/>
      </c>
      <c r="C313" s="70" t="str">
        <f>IF('Engagement Log'!B318="","",'Engagement Log'!B318)</f>
        <v/>
      </c>
      <c r="D313" s="70" t="str">
        <f>IF('Engagement Log'!D318="","",'Engagement Log'!D318)</f>
        <v/>
      </c>
      <c r="E313" s="70" t="str">
        <f>IF('Engagement Log'!G318="","",'Engagement Log'!G318)</f>
        <v/>
      </c>
      <c r="F313" s="70" t="str">
        <f>IF('Engagement Log'!N318="","",'Engagement Log'!N318)</f>
        <v/>
      </c>
      <c r="G313" s="70" t="str">
        <f>IF('Engagement Log'!C318="","",'Engagement Log'!C318)</f>
        <v/>
      </c>
      <c r="H313" s="71" t="str">
        <f>IF('Engagement Log'!P318="","",'Engagement Log'!P318)</f>
        <v/>
      </c>
      <c r="I313" s="71" t="str">
        <f>IF('Engagement Log'!Q318="","",'Engagement Log'!Q318)</f>
        <v/>
      </c>
      <c r="J313" s="72" t="str">
        <f>IF('Engagement Log'!L318="","",'Engagement Log'!L318)</f>
        <v/>
      </c>
    </row>
    <row r="314" spans="1:10" x14ac:dyDescent="0.3">
      <c r="A314" s="73" t="str">
        <f>IF('Engagement Log'!O319="","",'Engagement Log'!O319)</f>
        <v/>
      </c>
      <c r="B314" s="74" t="str">
        <f ca="1">IF('Engagement Log'!O319="","",'Engagement Log'!O319-TODAY())</f>
        <v/>
      </c>
      <c r="C314" s="75" t="str">
        <f>IF('Engagement Log'!B319="","",'Engagement Log'!B319)</f>
        <v/>
      </c>
      <c r="D314" s="75" t="str">
        <f>IF('Engagement Log'!D319="","",'Engagement Log'!D319)</f>
        <v/>
      </c>
      <c r="E314" s="75" t="str">
        <f>IF('Engagement Log'!G319="","",'Engagement Log'!G319)</f>
        <v/>
      </c>
      <c r="F314" s="75" t="str">
        <f>IF('Engagement Log'!N319="","",'Engagement Log'!N319)</f>
        <v/>
      </c>
      <c r="G314" s="75" t="str">
        <f>IF('Engagement Log'!C319="","",'Engagement Log'!C319)</f>
        <v/>
      </c>
      <c r="H314" s="76" t="str">
        <f>IF('Engagement Log'!P319="","",'Engagement Log'!P319)</f>
        <v/>
      </c>
      <c r="I314" s="76" t="str">
        <f>IF('Engagement Log'!Q319="","",'Engagement Log'!Q319)</f>
        <v/>
      </c>
      <c r="J314" s="77" t="str">
        <f>IF('Engagement Log'!L319="","",'Engagement Log'!L319)</f>
        <v/>
      </c>
    </row>
    <row r="315" spans="1:10" x14ac:dyDescent="0.3">
      <c r="A315" s="68" t="str">
        <f>IF('Engagement Log'!O320="","",'Engagement Log'!O320)</f>
        <v/>
      </c>
      <c r="B315" s="69" t="str">
        <f ca="1">IF('Engagement Log'!O320="","",'Engagement Log'!O320-TODAY())</f>
        <v/>
      </c>
      <c r="C315" s="70" t="str">
        <f>IF('Engagement Log'!B320="","",'Engagement Log'!B320)</f>
        <v/>
      </c>
      <c r="D315" s="70" t="str">
        <f>IF('Engagement Log'!D320="","",'Engagement Log'!D320)</f>
        <v/>
      </c>
      <c r="E315" s="70" t="str">
        <f>IF('Engagement Log'!G320="","",'Engagement Log'!G320)</f>
        <v/>
      </c>
      <c r="F315" s="70" t="str">
        <f>IF('Engagement Log'!N320="","",'Engagement Log'!N320)</f>
        <v/>
      </c>
      <c r="G315" s="70" t="str">
        <f>IF('Engagement Log'!C320="","",'Engagement Log'!C320)</f>
        <v/>
      </c>
      <c r="H315" s="71" t="str">
        <f>IF('Engagement Log'!P320="","",'Engagement Log'!P320)</f>
        <v/>
      </c>
      <c r="I315" s="71" t="str">
        <f>IF('Engagement Log'!Q320="","",'Engagement Log'!Q320)</f>
        <v/>
      </c>
      <c r="J315" s="72" t="str">
        <f>IF('Engagement Log'!L320="","",'Engagement Log'!L320)</f>
        <v/>
      </c>
    </row>
    <row r="316" spans="1:10" x14ac:dyDescent="0.3">
      <c r="A316" s="73" t="str">
        <f>IF('Engagement Log'!O321="","",'Engagement Log'!O321)</f>
        <v/>
      </c>
      <c r="B316" s="74" t="str">
        <f ca="1">IF('Engagement Log'!O321="","",'Engagement Log'!O321-TODAY())</f>
        <v/>
      </c>
      <c r="C316" s="75" t="str">
        <f>IF('Engagement Log'!B321="","",'Engagement Log'!B321)</f>
        <v/>
      </c>
      <c r="D316" s="75" t="str">
        <f>IF('Engagement Log'!D321="","",'Engagement Log'!D321)</f>
        <v/>
      </c>
      <c r="E316" s="75" t="str">
        <f>IF('Engagement Log'!G321="","",'Engagement Log'!G321)</f>
        <v/>
      </c>
      <c r="F316" s="75" t="str">
        <f>IF('Engagement Log'!N321="","",'Engagement Log'!N321)</f>
        <v/>
      </c>
      <c r="G316" s="75" t="str">
        <f>IF('Engagement Log'!C321="","",'Engagement Log'!C321)</f>
        <v/>
      </c>
      <c r="H316" s="76" t="str">
        <f>IF('Engagement Log'!P321="","",'Engagement Log'!P321)</f>
        <v/>
      </c>
      <c r="I316" s="76" t="str">
        <f>IF('Engagement Log'!Q321="","",'Engagement Log'!Q321)</f>
        <v/>
      </c>
      <c r="J316" s="77" t="str">
        <f>IF('Engagement Log'!L321="","",'Engagement Log'!L321)</f>
        <v/>
      </c>
    </row>
    <row r="317" spans="1:10" x14ac:dyDescent="0.3">
      <c r="A317" s="68" t="str">
        <f>IF('Engagement Log'!O322="","",'Engagement Log'!O322)</f>
        <v/>
      </c>
      <c r="B317" s="69" t="str">
        <f ca="1">IF('Engagement Log'!O322="","",'Engagement Log'!O322-TODAY())</f>
        <v/>
      </c>
      <c r="C317" s="70" t="str">
        <f>IF('Engagement Log'!B322="","",'Engagement Log'!B322)</f>
        <v/>
      </c>
      <c r="D317" s="70" t="str">
        <f>IF('Engagement Log'!D322="","",'Engagement Log'!D322)</f>
        <v/>
      </c>
      <c r="E317" s="70" t="str">
        <f>IF('Engagement Log'!G322="","",'Engagement Log'!G322)</f>
        <v/>
      </c>
      <c r="F317" s="70" t="str">
        <f>IF('Engagement Log'!N322="","",'Engagement Log'!N322)</f>
        <v/>
      </c>
      <c r="G317" s="70" t="str">
        <f>IF('Engagement Log'!C322="","",'Engagement Log'!C322)</f>
        <v/>
      </c>
      <c r="H317" s="71" t="str">
        <f>IF('Engagement Log'!P322="","",'Engagement Log'!P322)</f>
        <v/>
      </c>
      <c r="I317" s="71" t="str">
        <f>IF('Engagement Log'!Q322="","",'Engagement Log'!Q322)</f>
        <v/>
      </c>
      <c r="J317" s="72" t="str">
        <f>IF('Engagement Log'!L322="","",'Engagement Log'!L322)</f>
        <v/>
      </c>
    </row>
    <row r="318" spans="1:10" x14ac:dyDescent="0.3">
      <c r="A318" s="73" t="str">
        <f>IF('Engagement Log'!O323="","",'Engagement Log'!O323)</f>
        <v/>
      </c>
      <c r="B318" s="74" t="str">
        <f ca="1">IF('Engagement Log'!O323="","",'Engagement Log'!O323-TODAY())</f>
        <v/>
      </c>
      <c r="C318" s="75" t="str">
        <f>IF('Engagement Log'!B323="","",'Engagement Log'!B323)</f>
        <v/>
      </c>
      <c r="D318" s="75" t="str">
        <f>IF('Engagement Log'!D323="","",'Engagement Log'!D323)</f>
        <v/>
      </c>
      <c r="E318" s="75" t="str">
        <f>IF('Engagement Log'!G323="","",'Engagement Log'!G323)</f>
        <v/>
      </c>
      <c r="F318" s="75" t="str">
        <f>IF('Engagement Log'!N323="","",'Engagement Log'!N323)</f>
        <v/>
      </c>
      <c r="G318" s="75" t="str">
        <f>IF('Engagement Log'!C323="","",'Engagement Log'!C323)</f>
        <v/>
      </c>
      <c r="H318" s="76" t="str">
        <f>IF('Engagement Log'!P323="","",'Engagement Log'!P323)</f>
        <v/>
      </c>
      <c r="I318" s="76" t="str">
        <f>IF('Engagement Log'!Q323="","",'Engagement Log'!Q323)</f>
        <v/>
      </c>
      <c r="J318" s="77" t="str">
        <f>IF('Engagement Log'!L323="","",'Engagement Log'!L323)</f>
        <v/>
      </c>
    </row>
    <row r="319" spans="1:10" x14ac:dyDescent="0.3">
      <c r="A319" s="68" t="str">
        <f>IF('Engagement Log'!O324="","",'Engagement Log'!O324)</f>
        <v/>
      </c>
      <c r="B319" s="69" t="str">
        <f ca="1">IF('Engagement Log'!O324="","",'Engagement Log'!O324-TODAY())</f>
        <v/>
      </c>
      <c r="C319" s="70" t="str">
        <f>IF('Engagement Log'!B324="","",'Engagement Log'!B324)</f>
        <v/>
      </c>
      <c r="D319" s="70" t="str">
        <f>IF('Engagement Log'!D324="","",'Engagement Log'!D324)</f>
        <v/>
      </c>
      <c r="E319" s="70" t="str">
        <f>IF('Engagement Log'!G324="","",'Engagement Log'!G324)</f>
        <v/>
      </c>
      <c r="F319" s="70" t="str">
        <f>IF('Engagement Log'!N324="","",'Engagement Log'!N324)</f>
        <v/>
      </c>
      <c r="G319" s="70" t="str">
        <f>IF('Engagement Log'!C324="","",'Engagement Log'!C324)</f>
        <v/>
      </c>
      <c r="H319" s="71" t="str">
        <f>IF('Engagement Log'!P324="","",'Engagement Log'!P324)</f>
        <v/>
      </c>
      <c r="I319" s="71" t="str">
        <f>IF('Engagement Log'!Q324="","",'Engagement Log'!Q324)</f>
        <v/>
      </c>
      <c r="J319" s="72" t="str">
        <f>IF('Engagement Log'!L324="","",'Engagement Log'!L324)</f>
        <v/>
      </c>
    </row>
    <row r="320" spans="1:10" x14ac:dyDescent="0.3">
      <c r="A320" s="73" t="str">
        <f>IF('Engagement Log'!O325="","",'Engagement Log'!O325)</f>
        <v/>
      </c>
      <c r="B320" s="74" t="str">
        <f ca="1">IF('Engagement Log'!O325="","",'Engagement Log'!O325-TODAY())</f>
        <v/>
      </c>
      <c r="C320" s="75" t="str">
        <f>IF('Engagement Log'!B325="","",'Engagement Log'!B325)</f>
        <v/>
      </c>
      <c r="D320" s="75" t="str">
        <f>IF('Engagement Log'!D325="","",'Engagement Log'!D325)</f>
        <v/>
      </c>
      <c r="E320" s="75" t="str">
        <f>IF('Engagement Log'!G325="","",'Engagement Log'!G325)</f>
        <v/>
      </c>
      <c r="F320" s="75" t="str">
        <f>IF('Engagement Log'!N325="","",'Engagement Log'!N325)</f>
        <v/>
      </c>
      <c r="G320" s="75" t="str">
        <f>IF('Engagement Log'!C325="","",'Engagement Log'!C325)</f>
        <v/>
      </c>
      <c r="H320" s="76" t="str">
        <f>IF('Engagement Log'!P325="","",'Engagement Log'!P325)</f>
        <v/>
      </c>
      <c r="I320" s="76" t="str">
        <f>IF('Engagement Log'!Q325="","",'Engagement Log'!Q325)</f>
        <v/>
      </c>
      <c r="J320" s="77" t="str">
        <f>IF('Engagement Log'!L325="","",'Engagement Log'!L325)</f>
        <v/>
      </c>
    </row>
    <row r="321" spans="1:10" x14ac:dyDescent="0.3">
      <c r="A321" s="68" t="str">
        <f>IF('Engagement Log'!O326="","",'Engagement Log'!O326)</f>
        <v/>
      </c>
      <c r="B321" s="69" t="str">
        <f ca="1">IF('Engagement Log'!O326="","",'Engagement Log'!O326-TODAY())</f>
        <v/>
      </c>
      <c r="C321" s="70" t="str">
        <f>IF('Engagement Log'!B326="","",'Engagement Log'!B326)</f>
        <v/>
      </c>
      <c r="D321" s="70" t="str">
        <f>IF('Engagement Log'!D326="","",'Engagement Log'!D326)</f>
        <v/>
      </c>
      <c r="E321" s="70" t="str">
        <f>IF('Engagement Log'!G326="","",'Engagement Log'!G326)</f>
        <v/>
      </c>
      <c r="F321" s="70" t="str">
        <f>IF('Engagement Log'!N326="","",'Engagement Log'!N326)</f>
        <v/>
      </c>
      <c r="G321" s="70" t="str">
        <f>IF('Engagement Log'!C326="","",'Engagement Log'!C326)</f>
        <v/>
      </c>
      <c r="H321" s="71" t="str">
        <f>IF('Engagement Log'!P326="","",'Engagement Log'!P326)</f>
        <v/>
      </c>
      <c r="I321" s="71" t="str">
        <f>IF('Engagement Log'!Q326="","",'Engagement Log'!Q326)</f>
        <v/>
      </c>
      <c r="J321" s="72" t="str">
        <f>IF('Engagement Log'!L326="","",'Engagement Log'!L326)</f>
        <v/>
      </c>
    </row>
    <row r="322" spans="1:10" x14ac:dyDescent="0.3">
      <c r="A322" s="73" t="str">
        <f>IF('Engagement Log'!O327="","",'Engagement Log'!O327)</f>
        <v/>
      </c>
      <c r="B322" s="74" t="str">
        <f ca="1">IF('Engagement Log'!O327="","",'Engagement Log'!O327-TODAY())</f>
        <v/>
      </c>
      <c r="C322" s="75" t="str">
        <f>IF('Engagement Log'!B327="","",'Engagement Log'!B327)</f>
        <v/>
      </c>
      <c r="D322" s="75" t="str">
        <f>IF('Engagement Log'!D327="","",'Engagement Log'!D327)</f>
        <v/>
      </c>
      <c r="E322" s="75" t="str">
        <f>IF('Engagement Log'!G327="","",'Engagement Log'!G327)</f>
        <v/>
      </c>
      <c r="F322" s="75" t="str">
        <f>IF('Engagement Log'!N327="","",'Engagement Log'!N327)</f>
        <v/>
      </c>
      <c r="G322" s="75" t="str">
        <f>IF('Engagement Log'!C327="","",'Engagement Log'!C327)</f>
        <v/>
      </c>
      <c r="H322" s="76" t="str">
        <f>IF('Engagement Log'!P327="","",'Engagement Log'!P327)</f>
        <v/>
      </c>
      <c r="I322" s="76" t="str">
        <f>IF('Engagement Log'!Q327="","",'Engagement Log'!Q327)</f>
        <v/>
      </c>
      <c r="J322" s="77" t="str">
        <f>IF('Engagement Log'!L327="","",'Engagement Log'!L327)</f>
        <v/>
      </c>
    </row>
    <row r="323" spans="1:10" x14ac:dyDescent="0.3">
      <c r="A323" s="68" t="str">
        <f>IF('Engagement Log'!O328="","",'Engagement Log'!O328)</f>
        <v/>
      </c>
      <c r="B323" s="69" t="str">
        <f ca="1">IF('Engagement Log'!O328="","",'Engagement Log'!O328-TODAY())</f>
        <v/>
      </c>
      <c r="C323" s="70" t="str">
        <f>IF('Engagement Log'!B328="","",'Engagement Log'!B328)</f>
        <v/>
      </c>
      <c r="D323" s="70" t="str">
        <f>IF('Engagement Log'!D328="","",'Engagement Log'!D328)</f>
        <v/>
      </c>
      <c r="E323" s="70" t="str">
        <f>IF('Engagement Log'!G328="","",'Engagement Log'!G328)</f>
        <v/>
      </c>
      <c r="F323" s="70" t="str">
        <f>IF('Engagement Log'!N328="","",'Engagement Log'!N328)</f>
        <v/>
      </c>
      <c r="G323" s="70" t="str">
        <f>IF('Engagement Log'!C328="","",'Engagement Log'!C328)</f>
        <v/>
      </c>
      <c r="H323" s="71" t="str">
        <f>IF('Engagement Log'!P328="","",'Engagement Log'!P328)</f>
        <v/>
      </c>
      <c r="I323" s="71" t="str">
        <f>IF('Engagement Log'!Q328="","",'Engagement Log'!Q328)</f>
        <v/>
      </c>
      <c r="J323" s="72" t="str">
        <f>IF('Engagement Log'!L328="","",'Engagement Log'!L328)</f>
        <v/>
      </c>
    </row>
    <row r="324" spans="1:10" x14ac:dyDescent="0.3">
      <c r="A324" s="73" t="str">
        <f>IF('Engagement Log'!O329="","",'Engagement Log'!O329)</f>
        <v/>
      </c>
      <c r="B324" s="74" t="str">
        <f ca="1">IF('Engagement Log'!O329="","",'Engagement Log'!O329-TODAY())</f>
        <v/>
      </c>
      <c r="C324" s="75" t="str">
        <f>IF('Engagement Log'!B329="","",'Engagement Log'!B329)</f>
        <v/>
      </c>
      <c r="D324" s="75" t="str">
        <f>IF('Engagement Log'!D329="","",'Engagement Log'!D329)</f>
        <v/>
      </c>
      <c r="E324" s="75" t="str">
        <f>IF('Engagement Log'!G329="","",'Engagement Log'!G329)</f>
        <v/>
      </c>
      <c r="F324" s="75" t="str">
        <f>IF('Engagement Log'!N329="","",'Engagement Log'!N329)</f>
        <v/>
      </c>
      <c r="G324" s="75" t="str">
        <f>IF('Engagement Log'!C329="","",'Engagement Log'!C329)</f>
        <v/>
      </c>
      <c r="H324" s="76" t="str">
        <f>IF('Engagement Log'!P329="","",'Engagement Log'!P329)</f>
        <v/>
      </c>
      <c r="I324" s="76" t="str">
        <f>IF('Engagement Log'!Q329="","",'Engagement Log'!Q329)</f>
        <v/>
      </c>
      <c r="J324" s="77" t="str">
        <f>IF('Engagement Log'!L329="","",'Engagement Log'!L329)</f>
        <v/>
      </c>
    </row>
    <row r="325" spans="1:10" x14ac:dyDescent="0.3">
      <c r="A325" s="68" t="str">
        <f>IF('Engagement Log'!O330="","",'Engagement Log'!O330)</f>
        <v/>
      </c>
      <c r="B325" s="69" t="str">
        <f ca="1">IF('Engagement Log'!O330="","",'Engagement Log'!O330-TODAY())</f>
        <v/>
      </c>
      <c r="C325" s="70" t="str">
        <f>IF('Engagement Log'!B330="","",'Engagement Log'!B330)</f>
        <v/>
      </c>
      <c r="D325" s="70" t="str">
        <f>IF('Engagement Log'!D330="","",'Engagement Log'!D330)</f>
        <v/>
      </c>
      <c r="E325" s="70" t="str">
        <f>IF('Engagement Log'!G330="","",'Engagement Log'!G330)</f>
        <v/>
      </c>
      <c r="F325" s="70" t="str">
        <f>IF('Engagement Log'!N330="","",'Engagement Log'!N330)</f>
        <v/>
      </c>
      <c r="G325" s="70" t="str">
        <f>IF('Engagement Log'!C330="","",'Engagement Log'!C330)</f>
        <v/>
      </c>
      <c r="H325" s="71" t="str">
        <f>IF('Engagement Log'!P330="","",'Engagement Log'!P330)</f>
        <v/>
      </c>
      <c r="I325" s="71" t="str">
        <f>IF('Engagement Log'!Q330="","",'Engagement Log'!Q330)</f>
        <v/>
      </c>
      <c r="J325" s="72" t="str">
        <f>IF('Engagement Log'!L330="","",'Engagement Log'!L330)</f>
        <v/>
      </c>
    </row>
    <row r="326" spans="1:10" x14ac:dyDescent="0.3">
      <c r="A326" s="73" t="str">
        <f>IF('Engagement Log'!O331="","",'Engagement Log'!O331)</f>
        <v/>
      </c>
      <c r="B326" s="74" t="str">
        <f ca="1">IF('Engagement Log'!O331="","",'Engagement Log'!O331-TODAY())</f>
        <v/>
      </c>
      <c r="C326" s="75" t="str">
        <f>IF('Engagement Log'!B331="","",'Engagement Log'!B331)</f>
        <v/>
      </c>
      <c r="D326" s="75" t="str">
        <f>IF('Engagement Log'!D331="","",'Engagement Log'!D331)</f>
        <v/>
      </c>
      <c r="E326" s="75" t="str">
        <f>IF('Engagement Log'!G331="","",'Engagement Log'!G331)</f>
        <v/>
      </c>
      <c r="F326" s="75" t="str">
        <f>IF('Engagement Log'!N331="","",'Engagement Log'!N331)</f>
        <v/>
      </c>
      <c r="G326" s="75" t="str">
        <f>IF('Engagement Log'!C331="","",'Engagement Log'!C331)</f>
        <v/>
      </c>
      <c r="H326" s="76" t="str">
        <f>IF('Engagement Log'!P331="","",'Engagement Log'!P331)</f>
        <v/>
      </c>
      <c r="I326" s="76" t="str">
        <f>IF('Engagement Log'!Q331="","",'Engagement Log'!Q331)</f>
        <v/>
      </c>
      <c r="J326" s="77" t="str">
        <f>IF('Engagement Log'!L331="","",'Engagement Log'!L331)</f>
        <v/>
      </c>
    </row>
    <row r="327" spans="1:10" x14ac:dyDescent="0.3">
      <c r="A327" s="68" t="str">
        <f>IF('Engagement Log'!O332="","",'Engagement Log'!O332)</f>
        <v/>
      </c>
      <c r="B327" s="69" t="str">
        <f ca="1">IF('Engagement Log'!O332="","",'Engagement Log'!O332-TODAY())</f>
        <v/>
      </c>
      <c r="C327" s="70" t="str">
        <f>IF('Engagement Log'!B332="","",'Engagement Log'!B332)</f>
        <v/>
      </c>
      <c r="D327" s="70" t="str">
        <f>IF('Engagement Log'!D332="","",'Engagement Log'!D332)</f>
        <v/>
      </c>
      <c r="E327" s="70" t="str">
        <f>IF('Engagement Log'!G332="","",'Engagement Log'!G332)</f>
        <v/>
      </c>
      <c r="F327" s="70" t="str">
        <f>IF('Engagement Log'!N332="","",'Engagement Log'!N332)</f>
        <v/>
      </c>
      <c r="G327" s="70" t="str">
        <f>IF('Engagement Log'!C332="","",'Engagement Log'!C332)</f>
        <v/>
      </c>
      <c r="H327" s="71" t="str">
        <f>IF('Engagement Log'!P332="","",'Engagement Log'!P332)</f>
        <v/>
      </c>
      <c r="I327" s="71" t="str">
        <f>IF('Engagement Log'!Q332="","",'Engagement Log'!Q332)</f>
        <v/>
      </c>
      <c r="J327" s="72" t="str">
        <f>IF('Engagement Log'!L332="","",'Engagement Log'!L332)</f>
        <v/>
      </c>
    </row>
    <row r="328" spans="1:10" x14ac:dyDescent="0.3">
      <c r="A328" s="73" t="str">
        <f>IF('Engagement Log'!O333="","",'Engagement Log'!O333)</f>
        <v/>
      </c>
      <c r="B328" s="74" t="str">
        <f ca="1">IF('Engagement Log'!O333="","",'Engagement Log'!O333-TODAY())</f>
        <v/>
      </c>
      <c r="C328" s="75" t="str">
        <f>IF('Engagement Log'!B333="","",'Engagement Log'!B333)</f>
        <v/>
      </c>
      <c r="D328" s="75" t="str">
        <f>IF('Engagement Log'!D333="","",'Engagement Log'!D333)</f>
        <v/>
      </c>
      <c r="E328" s="75" t="str">
        <f>IF('Engagement Log'!G333="","",'Engagement Log'!G333)</f>
        <v/>
      </c>
      <c r="F328" s="75" t="str">
        <f>IF('Engagement Log'!N333="","",'Engagement Log'!N333)</f>
        <v/>
      </c>
      <c r="G328" s="75" t="str">
        <f>IF('Engagement Log'!C333="","",'Engagement Log'!C333)</f>
        <v/>
      </c>
      <c r="H328" s="76" t="str">
        <f>IF('Engagement Log'!P333="","",'Engagement Log'!P333)</f>
        <v/>
      </c>
      <c r="I328" s="76" t="str">
        <f>IF('Engagement Log'!Q333="","",'Engagement Log'!Q333)</f>
        <v/>
      </c>
      <c r="J328" s="77" t="str">
        <f>IF('Engagement Log'!L333="","",'Engagement Log'!L333)</f>
        <v/>
      </c>
    </row>
    <row r="329" spans="1:10" x14ac:dyDescent="0.3">
      <c r="A329" s="68" t="str">
        <f>IF('Engagement Log'!O334="","",'Engagement Log'!O334)</f>
        <v/>
      </c>
      <c r="B329" s="69" t="str">
        <f ca="1">IF('Engagement Log'!O334="","",'Engagement Log'!O334-TODAY())</f>
        <v/>
      </c>
      <c r="C329" s="70" t="str">
        <f>IF('Engagement Log'!B334="","",'Engagement Log'!B334)</f>
        <v/>
      </c>
      <c r="D329" s="70" t="str">
        <f>IF('Engagement Log'!D334="","",'Engagement Log'!D334)</f>
        <v/>
      </c>
      <c r="E329" s="70" t="str">
        <f>IF('Engagement Log'!G334="","",'Engagement Log'!G334)</f>
        <v/>
      </c>
      <c r="F329" s="70" t="str">
        <f>IF('Engagement Log'!N334="","",'Engagement Log'!N334)</f>
        <v/>
      </c>
      <c r="G329" s="70" t="str">
        <f>IF('Engagement Log'!C334="","",'Engagement Log'!C334)</f>
        <v/>
      </c>
      <c r="H329" s="71" t="str">
        <f>IF('Engagement Log'!P334="","",'Engagement Log'!P334)</f>
        <v/>
      </c>
      <c r="I329" s="71" t="str">
        <f>IF('Engagement Log'!Q334="","",'Engagement Log'!Q334)</f>
        <v/>
      </c>
      <c r="J329" s="72" t="str">
        <f>IF('Engagement Log'!L334="","",'Engagement Log'!L334)</f>
        <v/>
      </c>
    </row>
    <row r="330" spans="1:10" x14ac:dyDescent="0.3">
      <c r="A330" s="73" t="str">
        <f>IF('Engagement Log'!O335="","",'Engagement Log'!O335)</f>
        <v/>
      </c>
      <c r="B330" s="74" t="str">
        <f ca="1">IF('Engagement Log'!O335="","",'Engagement Log'!O335-TODAY())</f>
        <v/>
      </c>
      <c r="C330" s="75" t="str">
        <f>IF('Engagement Log'!B335="","",'Engagement Log'!B335)</f>
        <v/>
      </c>
      <c r="D330" s="75" t="str">
        <f>IF('Engagement Log'!D335="","",'Engagement Log'!D335)</f>
        <v/>
      </c>
      <c r="E330" s="75" t="str">
        <f>IF('Engagement Log'!G335="","",'Engagement Log'!G335)</f>
        <v/>
      </c>
      <c r="F330" s="75" t="str">
        <f>IF('Engagement Log'!N335="","",'Engagement Log'!N335)</f>
        <v/>
      </c>
      <c r="G330" s="75" t="str">
        <f>IF('Engagement Log'!C335="","",'Engagement Log'!C335)</f>
        <v/>
      </c>
      <c r="H330" s="76" t="str">
        <f>IF('Engagement Log'!P335="","",'Engagement Log'!P335)</f>
        <v/>
      </c>
      <c r="I330" s="76" t="str">
        <f>IF('Engagement Log'!Q335="","",'Engagement Log'!Q335)</f>
        <v/>
      </c>
      <c r="J330" s="77" t="str">
        <f>IF('Engagement Log'!L335="","",'Engagement Log'!L335)</f>
        <v/>
      </c>
    </row>
    <row r="331" spans="1:10" x14ac:dyDescent="0.3">
      <c r="A331" s="68" t="str">
        <f>IF('Engagement Log'!O336="","",'Engagement Log'!O336)</f>
        <v/>
      </c>
      <c r="B331" s="69" t="str">
        <f ca="1">IF('Engagement Log'!O336="","",'Engagement Log'!O336-TODAY())</f>
        <v/>
      </c>
      <c r="C331" s="70" t="str">
        <f>IF('Engagement Log'!B336="","",'Engagement Log'!B336)</f>
        <v/>
      </c>
      <c r="D331" s="70" t="str">
        <f>IF('Engagement Log'!D336="","",'Engagement Log'!D336)</f>
        <v/>
      </c>
      <c r="E331" s="70" t="str">
        <f>IF('Engagement Log'!G336="","",'Engagement Log'!G336)</f>
        <v/>
      </c>
      <c r="F331" s="70" t="str">
        <f>IF('Engagement Log'!N336="","",'Engagement Log'!N336)</f>
        <v/>
      </c>
      <c r="G331" s="70" t="str">
        <f>IF('Engagement Log'!C336="","",'Engagement Log'!C336)</f>
        <v/>
      </c>
      <c r="H331" s="71" t="str">
        <f>IF('Engagement Log'!P336="","",'Engagement Log'!P336)</f>
        <v/>
      </c>
      <c r="I331" s="71" t="str">
        <f>IF('Engagement Log'!Q336="","",'Engagement Log'!Q336)</f>
        <v/>
      </c>
      <c r="J331" s="72" t="str">
        <f>IF('Engagement Log'!L336="","",'Engagement Log'!L336)</f>
        <v/>
      </c>
    </row>
    <row r="332" spans="1:10" x14ac:dyDescent="0.3">
      <c r="A332" s="73" t="str">
        <f>IF('Engagement Log'!O337="","",'Engagement Log'!O337)</f>
        <v/>
      </c>
      <c r="B332" s="74" t="str">
        <f ca="1">IF('Engagement Log'!O337="","",'Engagement Log'!O337-TODAY())</f>
        <v/>
      </c>
      <c r="C332" s="75" t="str">
        <f>IF('Engagement Log'!B337="","",'Engagement Log'!B337)</f>
        <v/>
      </c>
      <c r="D332" s="75" t="str">
        <f>IF('Engagement Log'!D337="","",'Engagement Log'!D337)</f>
        <v/>
      </c>
      <c r="E332" s="75" t="str">
        <f>IF('Engagement Log'!G337="","",'Engagement Log'!G337)</f>
        <v/>
      </c>
      <c r="F332" s="75" t="str">
        <f>IF('Engagement Log'!N337="","",'Engagement Log'!N337)</f>
        <v/>
      </c>
      <c r="G332" s="75" t="str">
        <f>IF('Engagement Log'!C337="","",'Engagement Log'!C337)</f>
        <v/>
      </c>
      <c r="H332" s="76" t="str">
        <f>IF('Engagement Log'!P337="","",'Engagement Log'!P337)</f>
        <v/>
      </c>
      <c r="I332" s="76" t="str">
        <f>IF('Engagement Log'!Q337="","",'Engagement Log'!Q337)</f>
        <v/>
      </c>
      <c r="J332" s="77" t="str">
        <f>IF('Engagement Log'!L337="","",'Engagement Log'!L337)</f>
        <v/>
      </c>
    </row>
    <row r="333" spans="1:10" x14ac:dyDescent="0.3">
      <c r="A333" s="68" t="str">
        <f>IF('Engagement Log'!O338="","",'Engagement Log'!O338)</f>
        <v/>
      </c>
      <c r="B333" s="69" t="str">
        <f ca="1">IF('Engagement Log'!O338="","",'Engagement Log'!O338-TODAY())</f>
        <v/>
      </c>
      <c r="C333" s="70" t="str">
        <f>IF('Engagement Log'!B338="","",'Engagement Log'!B338)</f>
        <v/>
      </c>
      <c r="D333" s="70" t="str">
        <f>IF('Engagement Log'!D338="","",'Engagement Log'!D338)</f>
        <v/>
      </c>
      <c r="E333" s="70" t="str">
        <f>IF('Engagement Log'!G338="","",'Engagement Log'!G338)</f>
        <v/>
      </c>
      <c r="F333" s="70" t="str">
        <f>IF('Engagement Log'!N338="","",'Engagement Log'!N338)</f>
        <v/>
      </c>
      <c r="G333" s="70" t="str">
        <f>IF('Engagement Log'!C338="","",'Engagement Log'!C338)</f>
        <v/>
      </c>
      <c r="H333" s="71" t="str">
        <f>IF('Engagement Log'!P338="","",'Engagement Log'!P338)</f>
        <v/>
      </c>
      <c r="I333" s="71" t="str">
        <f>IF('Engagement Log'!Q338="","",'Engagement Log'!Q338)</f>
        <v/>
      </c>
      <c r="J333" s="72" t="str">
        <f>IF('Engagement Log'!L338="","",'Engagement Log'!L338)</f>
        <v/>
      </c>
    </row>
    <row r="334" spans="1:10" x14ac:dyDescent="0.3">
      <c r="A334" s="73" t="str">
        <f>IF('Engagement Log'!O339="","",'Engagement Log'!O339)</f>
        <v/>
      </c>
      <c r="B334" s="74" t="str">
        <f ca="1">IF('Engagement Log'!O339="","",'Engagement Log'!O339-TODAY())</f>
        <v/>
      </c>
      <c r="C334" s="75" t="str">
        <f>IF('Engagement Log'!B339="","",'Engagement Log'!B339)</f>
        <v/>
      </c>
      <c r="D334" s="75" t="str">
        <f>IF('Engagement Log'!D339="","",'Engagement Log'!D339)</f>
        <v/>
      </c>
      <c r="E334" s="75" t="str">
        <f>IF('Engagement Log'!G339="","",'Engagement Log'!G339)</f>
        <v/>
      </c>
      <c r="F334" s="75" t="str">
        <f>IF('Engagement Log'!N339="","",'Engagement Log'!N339)</f>
        <v/>
      </c>
      <c r="G334" s="75" t="str">
        <f>IF('Engagement Log'!C339="","",'Engagement Log'!C339)</f>
        <v/>
      </c>
      <c r="H334" s="76" t="str">
        <f>IF('Engagement Log'!P339="","",'Engagement Log'!P339)</f>
        <v/>
      </c>
      <c r="I334" s="76" t="str">
        <f>IF('Engagement Log'!Q339="","",'Engagement Log'!Q339)</f>
        <v/>
      </c>
      <c r="J334" s="77" t="str">
        <f>IF('Engagement Log'!L339="","",'Engagement Log'!L339)</f>
        <v/>
      </c>
    </row>
    <row r="335" spans="1:10" x14ac:dyDescent="0.3">
      <c r="A335" s="68" t="str">
        <f>IF('Engagement Log'!O340="","",'Engagement Log'!O340)</f>
        <v/>
      </c>
      <c r="B335" s="69" t="str">
        <f ca="1">IF('Engagement Log'!O340="","",'Engagement Log'!O340-TODAY())</f>
        <v/>
      </c>
      <c r="C335" s="70" t="str">
        <f>IF('Engagement Log'!B340="","",'Engagement Log'!B340)</f>
        <v/>
      </c>
      <c r="D335" s="70" t="str">
        <f>IF('Engagement Log'!D340="","",'Engagement Log'!D340)</f>
        <v/>
      </c>
      <c r="E335" s="70" t="str">
        <f>IF('Engagement Log'!G340="","",'Engagement Log'!G340)</f>
        <v/>
      </c>
      <c r="F335" s="70" t="str">
        <f>IF('Engagement Log'!N340="","",'Engagement Log'!N340)</f>
        <v/>
      </c>
      <c r="G335" s="70" t="str">
        <f>IF('Engagement Log'!C340="","",'Engagement Log'!C340)</f>
        <v/>
      </c>
      <c r="H335" s="71" t="str">
        <f>IF('Engagement Log'!P340="","",'Engagement Log'!P340)</f>
        <v/>
      </c>
      <c r="I335" s="71" t="str">
        <f>IF('Engagement Log'!Q340="","",'Engagement Log'!Q340)</f>
        <v/>
      </c>
      <c r="J335" s="72" t="str">
        <f>IF('Engagement Log'!L340="","",'Engagement Log'!L340)</f>
        <v/>
      </c>
    </row>
    <row r="336" spans="1:10" x14ac:dyDescent="0.3">
      <c r="A336" s="73" t="str">
        <f>IF('Engagement Log'!O341="","",'Engagement Log'!O341)</f>
        <v/>
      </c>
      <c r="B336" s="74" t="str">
        <f ca="1">IF('Engagement Log'!O341="","",'Engagement Log'!O341-TODAY())</f>
        <v/>
      </c>
      <c r="C336" s="75" t="str">
        <f>IF('Engagement Log'!B341="","",'Engagement Log'!B341)</f>
        <v/>
      </c>
      <c r="D336" s="75" t="str">
        <f>IF('Engagement Log'!D341="","",'Engagement Log'!D341)</f>
        <v/>
      </c>
      <c r="E336" s="75" t="str">
        <f>IF('Engagement Log'!G341="","",'Engagement Log'!G341)</f>
        <v/>
      </c>
      <c r="F336" s="75" t="str">
        <f>IF('Engagement Log'!N341="","",'Engagement Log'!N341)</f>
        <v/>
      </c>
      <c r="G336" s="75" t="str">
        <f>IF('Engagement Log'!C341="","",'Engagement Log'!C341)</f>
        <v/>
      </c>
      <c r="H336" s="76" t="str">
        <f>IF('Engagement Log'!P341="","",'Engagement Log'!P341)</f>
        <v/>
      </c>
      <c r="I336" s="76" t="str">
        <f>IF('Engagement Log'!Q341="","",'Engagement Log'!Q341)</f>
        <v/>
      </c>
      <c r="J336" s="77" t="str">
        <f>IF('Engagement Log'!L341="","",'Engagement Log'!L341)</f>
        <v/>
      </c>
    </row>
    <row r="337" spans="1:10" x14ac:dyDescent="0.3">
      <c r="A337" s="68" t="str">
        <f>IF('Engagement Log'!O342="","",'Engagement Log'!O342)</f>
        <v/>
      </c>
      <c r="B337" s="69" t="str">
        <f ca="1">IF('Engagement Log'!O342="","",'Engagement Log'!O342-TODAY())</f>
        <v/>
      </c>
      <c r="C337" s="70" t="str">
        <f>IF('Engagement Log'!B342="","",'Engagement Log'!B342)</f>
        <v/>
      </c>
      <c r="D337" s="70" t="str">
        <f>IF('Engagement Log'!D342="","",'Engagement Log'!D342)</f>
        <v/>
      </c>
      <c r="E337" s="70" t="str">
        <f>IF('Engagement Log'!G342="","",'Engagement Log'!G342)</f>
        <v/>
      </c>
      <c r="F337" s="70" t="str">
        <f>IF('Engagement Log'!N342="","",'Engagement Log'!N342)</f>
        <v/>
      </c>
      <c r="G337" s="70" t="str">
        <f>IF('Engagement Log'!C342="","",'Engagement Log'!C342)</f>
        <v/>
      </c>
      <c r="H337" s="71" t="str">
        <f>IF('Engagement Log'!P342="","",'Engagement Log'!P342)</f>
        <v/>
      </c>
      <c r="I337" s="71" t="str">
        <f>IF('Engagement Log'!Q342="","",'Engagement Log'!Q342)</f>
        <v/>
      </c>
      <c r="J337" s="72" t="str">
        <f>IF('Engagement Log'!L342="","",'Engagement Log'!L342)</f>
        <v/>
      </c>
    </row>
    <row r="338" spans="1:10" x14ac:dyDescent="0.3">
      <c r="A338" s="73" t="str">
        <f>IF('Engagement Log'!O343="","",'Engagement Log'!O343)</f>
        <v/>
      </c>
      <c r="B338" s="74" t="str">
        <f ca="1">IF('Engagement Log'!O343="","",'Engagement Log'!O343-TODAY())</f>
        <v/>
      </c>
      <c r="C338" s="75" t="str">
        <f>IF('Engagement Log'!B343="","",'Engagement Log'!B343)</f>
        <v/>
      </c>
      <c r="D338" s="75" t="str">
        <f>IF('Engagement Log'!D343="","",'Engagement Log'!D343)</f>
        <v/>
      </c>
      <c r="E338" s="75" t="str">
        <f>IF('Engagement Log'!G343="","",'Engagement Log'!G343)</f>
        <v/>
      </c>
      <c r="F338" s="75" t="str">
        <f>IF('Engagement Log'!N343="","",'Engagement Log'!N343)</f>
        <v/>
      </c>
      <c r="G338" s="75" t="str">
        <f>IF('Engagement Log'!C343="","",'Engagement Log'!C343)</f>
        <v/>
      </c>
      <c r="H338" s="76" t="str">
        <f>IF('Engagement Log'!P343="","",'Engagement Log'!P343)</f>
        <v/>
      </c>
      <c r="I338" s="76" t="str">
        <f>IF('Engagement Log'!Q343="","",'Engagement Log'!Q343)</f>
        <v/>
      </c>
      <c r="J338" s="77" t="str">
        <f>IF('Engagement Log'!L343="","",'Engagement Log'!L343)</f>
        <v/>
      </c>
    </row>
    <row r="339" spans="1:10" x14ac:dyDescent="0.3">
      <c r="A339" s="68" t="str">
        <f>IF('Engagement Log'!O344="","",'Engagement Log'!O344)</f>
        <v/>
      </c>
      <c r="B339" s="69" t="str">
        <f ca="1">IF('Engagement Log'!O344="","",'Engagement Log'!O344-TODAY())</f>
        <v/>
      </c>
      <c r="C339" s="70" t="str">
        <f>IF('Engagement Log'!B344="","",'Engagement Log'!B344)</f>
        <v/>
      </c>
      <c r="D339" s="70" t="str">
        <f>IF('Engagement Log'!D344="","",'Engagement Log'!D344)</f>
        <v/>
      </c>
      <c r="E339" s="70" t="str">
        <f>IF('Engagement Log'!G344="","",'Engagement Log'!G344)</f>
        <v/>
      </c>
      <c r="F339" s="70" t="str">
        <f>IF('Engagement Log'!N344="","",'Engagement Log'!N344)</f>
        <v/>
      </c>
      <c r="G339" s="70" t="str">
        <f>IF('Engagement Log'!C344="","",'Engagement Log'!C344)</f>
        <v/>
      </c>
      <c r="H339" s="71" t="str">
        <f>IF('Engagement Log'!P344="","",'Engagement Log'!P344)</f>
        <v/>
      </c>
      <c r="I339" s="71" t="str">
        <f>IF('Engagement Log'!Q344="","",'Engagement Log'!Q344)</f>
        <v/>
      </c>
      <c r="J339" s="72" t="str">
        <f>IF('Engagement Log'!L344="","",'Engagement Log'!L344)</f>
        <v/>
      </c>
    </row>
    <row r="340" spans="1:10" x14ac:dyDescent="0.3">
      <c r="A340" s="73" t="str">
        <f>IF('Engagement Log'!O345="","",'Engagement Log'!O345)</f>
        <v/>
      </c>
      <c r="B340" s="74" t="str">
        <f ca="1">IF('Engagement Log'!O345="","",'Engagement Log'!O345-TODAY())</f>
        <v/>
      </c>
      <c r="C340" s="75" t="str">
        <f>IF('Engagement Log'!B345="","",'Engagement Log'!B345)</f>
        <v/>
      </c>
      <c r="D340" s="75" t="str">
        <f>IF('Engagement Log'!D345="","",'Engagement Log'!D345)</f>
        <v/>
      </c>
      <c r="E340" s="75" t="str">
        <f>IF('Engagement Log'!G345="","",'Engagement Log'!G345)</f>
        <v/>
      </c>
      <c r="F340" s="75" t="str">
        <f>IF('Engagement Log'!N345="","",'Engagement Log'!N345)</f>
        <v/>
      </c>
      <c r="G340" s="75" t="str">
        <f>IF('Engagement Log'!C345="","",'Engagement Log'!C345)</f>
        <v/>
      </c>
      <c r="H340" s="76" t="str">
        <f>IF('Engagement Log'!P345="","",'Engagement Log'!P345)</f>
        <v/>
      </c>
      <c r="I340" s="76" t="str">
        <f>IF('Engagement Log'!Q345="","",'Engagement Log'!Q345)</f>
        <v/>
      </c>
      <c r="J340" s="77" t="str">
        <f>IF('Engagement Log'!L345="","",'Engagement Log'!L345)</f>
        <v/>
      </c>
    </row>
    <row r="341" spans="1:10" x14ac:dyDescent="0.3">
      <c r="A341" s="68" t="str">
        <f>IF('Engagement Log'!O346="","",'Engagement Log'!O346)</f>
        <v/>
      </c>
      <c r="B341" s="69" t="str">
        <f ca="1">IF('Engagement Log'!O346="","",'Engagement Log'!O346-TODAY())</f>
        <v/>
      </c>
      <c r="C341" s="70" t="str">
        <f>IF('Engagement Log'!B346="","",'Engagement Log'!B346)</f>
        <v/>
      </c>
      <c r="D341" s="70" t="str">
        <f>IF('Engagement Log'!D346="","",'Engagement Log'!D346)</f>
        <v/>
      </c>
      <c r="E341" s="70" t="str">
        <f>IF('Engagement Log'!G346="","",'Engagement Log'!G346)</f>
        <v/>
      </c>
      <c r="F341" s="70" t="str">
        <f>IF('Engagement Log'!N346="","",'Engagement Log'!N346)</f>
        <v/>
      </c>
      <c r="G341" s="70" t="str">
        <f>IF('Engagement Log'!C346="","",'Engagement Log'!C346)</f>
        <v/>
      </c>
      <c r="H341" s="71" t="str">
        <f>IF('Engagement Log'!P346="","",'Engagement Log'!P346)</f>
        <v/>
      </c>
      <c r="I341" s="71" t="str">
        <f>IF('Engagement Log'!Q346="","",'Engagement Log'!Q346)</f>
        <v/>
      </c>
      <c r="J341" s="72" t="str">
        <f>IF('Engagement Log'!L346="","",'Engagement Log'!L346)</f>
        <v/>
      </c>
    </row>
    <row r="342" spans="1:10" x14ac:dyDescent="0.3">
      <c r="A342" s="73" t="str">
        <f>IF('Engagement Log'!O347="","",'Engagement Log'!O347)</f>
        <v/>
      </c>
      <c r="B342" s="74" t="str">
        <f ca="1">IF('Engagement Log'!O347="","",'Engagement Log'!O347-TODAY())</f>
        <v/>
      </c>
      <c r="C342" s="75" t="str">
        <f>IF('Engagement Log'!B347="","",'Engagement Log'!B347)</f>
        <v/>
      </c>
      <c r="D342" s="75" t="str">
        <f>IF('Engagement Log'!D347="","",'Engagement Log'!D347)</f>
        <v/>
      </c>
      <c r="E342" s="75" t="str">
        <f>IF('Engagement Log'!G347="","",'Engagement Log'!G347)</f>
        <v/>
      </c>
      <c r="F342" s="75" t="str">
        <f>IF('Engagement Log'!N347="","",'Engagement Log'!N347)</f>
        <v/>
      </c>
      <c r="G342" s="75" t="str">
        <f>IF('Engagement Log'!C347="","",'Engagement Log'!C347)</f>
        <v/>
      </c>
      <c r="H342" s="76" t="str">
        <f>IF('Engagement Log'!P347="","",'Engagement Log'!P347)</f>
        <v/>
      </c>
      <c r="I342" s="76" t="str">
        <f>IF('Engagement Log'!Q347="","",'Engagement Log'!Q347)</f>
        <v/>
      </c>
      <c r="J342" s="77" t="str">
        <f>IF('Engagement Log'!L347="","",'Engagement Log'!L347)</f>
        <v/>
      </c>
    </row>
    <row r="343" spans="1:10" x14ac:dyDescent="0.3">
      <c r="A343" s="68" t="str">
        <f>IF('Engagement Log'!O348="","",'Engagement Log'!O348)</f>
        <v/>
      </c>
      <c r="B343" s="69" t="str">
        <f ca="1">IF('Engagement Log'!O348="","",'Engagement Log'!O348-TODAY())</f>
        <v/>
      </c>
      <c r="C343" s="70" t="str">
        <f>IF('Engagement Log'!B348="","",'Engagement Log'!B348)</f>
        <v/>
      </c>
      <c r="D343" s="70" t="str">
        <f>IF('Engagement Log'!D348="","",'Engagement Log'!D348)</f>
        <v/>
      </c>
      <c r="E343" s="70" t="str">
        <f>IF('Engagement Log'!G348="","",'Engagement Log'!G348)</f>
        <v/>
      </c>
      <c r="F343" s="70" t="str">
        <f>IF('Engagement Log'!N348="","",'Engagement Log'!N348)</f>
        <v/>
      </c>
      <c r="G343" s="70" t="str">
        <f>IF('Engagement Log'!C348="","",'Engagement Log'!C348)</f>
        <v/>
      </c>
      <c r="H343" s="71" t="str">
        <f>IF('Engagement Log'!P348="","",'Engagement Log'!P348)</f>
        <v/>
      </c>
      <c r="I343" s="71" t="str">
        <f>IF('Engagement Log'!Q348="","",'Engagement Log'!Q348)</f>
        <v/>
      </c>
      <c r="J343" s="72" t="str">
        <f>IF('Engagement Log'!L348="","",'Engagement Log'!L348)</f>
        <v/>
      </c>
    </row>
    <row r="344" spans="1:10" x14ac:dyDescent="0.3">
      <c r="A344" s="73" t="str">
        <f>IF('Engagement Log'!O349="","",'Engagement Log'!O349)</f>
        <v/>
      </c>
      <c r="B344" s="74" t="str">
        <f ca="1">IF('Engagement Log'!O349="","",'Engagement Log'!O349-TODAY())</f>
        <v/>
      </c>
      <c r="C344" s="75" t="str">
        <f>IF('Engagement Log'!B349="","",'Engagement Log'!B349)</f>
        <v/>
      </c>
      <c r="D344" s="75" t="str">
        <f>IF('Engagement Log'!D349="","",'Engagement Log'!D349)</f>
        <v/>
      </c>
      <c r="E344" s="75" t="str">
        <f>IF('Engagement Log'!G349="","",'Engagement Log'!G349)</f>
        <v/>
      </c>
      <c r="F344" s="75" t="str">
        <f>IF('Engagement Log'!N349="","",'Engagement Log'!N349)</f>
        <v/>
      </c>
      <c r="G344" s="75" t="str">
        <f>IF('Engagement Log'!C349="","",'Engagement Log'!C349)</f>
        <v/>
      </c>
      <c r="H344" s="76" t="str">
        <f>IF('Engagement Log'!P349="","",'Engagement Log'!P349)</f>
        <v/>
      </c>
      <c r="I344" s="76" t="str">
        <f>IF('Engagement Log'!Q349="","",'Engagement Log'!Q349)</f>
        <v/>
      </c>
      <c r="J344" s="77" t="str">
        <f>IF('Engagement Log'!L349="","",'Engagement Log'!L349)</f>
        <v/>
      </c>
    </row>
    <row r="345" spans="1:10" x14ac:dyDescent="0.3">
      <c r="A345" s="68" t="str">
        <f>IF('Engagement Log'!O350="","",'Engagement Log'!O350)</f>
        <v/>
      </c>
      <c r="B345" s="69" t="str">
        <f ca="1">IF('Engagement Log'!O350="","",'Engagement Log'!O350-TODAY())</f>
        <v/>
      </c>
      <c r="C345" s="70" t="str">
        <f>IF('Engagement Log'!B350="","",'Engagement Log'!B350)</f>
        <v/>
      </c>
      <c r="D345" s="70" t="str">
        <f>IF('Engagement Log'!D350="","",'Engagement Log'!D350)</f>
        <v/>
      </c>
      <c r="E345" s="70" t="str">
        <f>IF('Engagement Log'!G350="","",'Engagement Log'!G350)</f>
        <v/>
      </c>
      <c r="F345" s="70" t="str">
        <f>IF('Engagement Log'!N350="","",'Engagement Log'!N350)</f>
        <v/>
      </c>
      <c r="G345" s="70" t="str">
        <f>IF('Engagement Log'!C350="","",'Engagement Log'!C350)</f>
        <v/>
      </c>
      <c r="H345" s="71" t="str">
        <f>IF('Engagement Log'!P350="","",'Engagement Log'!P350)</f>
        <v/>
      </c>
      <c r="I345" s="71" t="str">
        <f>IF('Engagement Log'!Q350="","",'Engagement Log'!Q350)</f>
        <v/>
      </c>
      <c r="J345" s="72" t="str">
        <f>IF('Engagement Log'!L350="","",'Engagement Log'!L350)</f>
        <v/>
      </c>
    </row>
    <row r="346" spans="1:10" x14ac:dyDescent="0.3">
      <c r="A346" s="73" t="str">
        <f>IF('Engagement Log'!O351="","",'Engagement Log'!O351)</f>
        <v/>
      </c>
      <c r="B346" s="74" t="str">
        <f ca="1">IF('Engagement Log'!O351="","",'Engagement Log'!O351-TODAY())</f>
        <v/>
      </c>
      <c r="C346" s="75" t="str">
        <f>IF('Engagement Log'!B351="","",'Engagement Log'!B351)</f>
        <v/>
      </c>
      <c r="D346" s="75" t="str">
        <f>IF('Engagement Log'!D351="","",'Engagement Log'!D351)</f>
        <v/>
      </c>
      <c r="E346" s="75" t="str">
        <f>IF('Engagement Log'!G351="","",'Engagement Log'!G351)</f>
        <v/>
      </c>
      <c r="F346" s="75" t="str">
        <f>IF('Engagement Log'!N351="","",'Engagement Log'!N351)</f>
        <v/>
      </c>
      <c r="G346" s="75" t="str">
        <f>IF('Engagement Log'!C351="","",'Engagement Log'!C351)</f>
        <v/>
      </c>
      <c r="H346" s="76" t="str">
        <f>IF('Engagement Log'!P351="","",'Engagement Log'!P351)</f>
        <v/>
      </c>
      <c r="I346" s="76" t="str">
        <f>IF('Engagement Log'!Q351="","",'Engagement Log'!Q351)</f>
        <v/>
      </c>
      <c r="J346" s="77" t="str">
        <f>IF('Engagement Log'!L351="","",'Engagement Log'!L351)</f>
        <v/>
      </c>
    </row>
    <row r="347" spans="1:10" x14ac:dyDescent="0.3">
      <c r="A347" s="68" t="str">
        <f>IF('Engagement Log'!O352="","",'Engagement Log'!O352)</f>
        <v/>
      </c>
      <c r="B347" s="69" t="str">
        <f ca="1">IF('Engagement Log'!O352="","",'Engagement Log'!O352-TODAY())</f>
        <v/>
      </c>
      <c r="C347" s="70" t="str">
        <f>IF('Engagement Log'!B352="","",'Engagement Log'!B352)</f>
        <v/>
      </c>
      <c r="D347" s="70" t="str">
        <f>IF('Engagement Log'!D352="","",'Engagement Log'!D352)</f>
        <v/>
      </c>
      <c r="E347" s="70" t="str">
        <f>IF('Engagement Log'!G352="","",'Engagement Log'!G352)</f>
        <v/>
      </c>
      <c r="F347" s="70" t="str">
        <f>IF('Engagement Log'!N352="","",'Engagement Log'!N352)</f>
        <v/>
      </c>
      <c r="G347" s="70" t="str">
        <f>IF('Engagement Log'!C352="","",'Engagement Log'!C352)</f>
        <v/>
      </c>
      <c r="H347" s="71" t="str">
        <f>IF('Engagement Log'!P352="","",'Engagement Log'!P352)</f>
        <v/>
      </c>
      <c r="I347" s="71" t="str">
        <f>IF('Engagement Log'!Q352="","",'Engagement Log'!Q352)</f>
        <v/>
      </c>
      <c r="J347" s="72" t="str">
        <f>IF('Engagement Log'!L352="","",'Engagement Log'!L352)</f>
        <v/>
      </c>
    </row>
    <row r="348" spans="1:10" x14ac:dyDescent="0.3">
      <c r="A348" s="73" t="str">
        <f>IF('Engagement Log'!O353="","",'Engagement Log'!O353)</f>
        <v/>
      </c>
      <c r="B348" s="74" t="str">
        <f ca="1">IF('Engagement Log'!O353="","",'Engagement Log'!O353-TODAY())</f>
        <v/>
      </c>
      <c r="C348" s="75" t="str">
        <f>IF('Engagement Log'!B353="","",'Engagement Log'!B353)</f>
        <v/>
      </c>
      <c r="D348" s="75" t="str">
        <f>IF('Engagement Log'!D353="","",'Engagement Log'!D353)</f>
        <v/>
      </c>
      <c r="E348" s="75" t="str">
        <f>IF('Engagement Log'!G353="","",'Engagement Log'!G353)</f>
        <v/>
      </c>
      <c r="F348" s="75" t="str">
        <f>IF('Engagement Log'!N353="","",'Engagement Log'!N353)</f>
        <v/>
      </c>
      <c r="G348" s="75" t="str">
        <f>IF('Engagement Log'!C353="","",'Engagement Log'!C353)</f>
        <v/>
      </c>
      <c r="H348" s="76" t="str">
        <f>IF('Engagement Log'!P353="","",'Engagement Log'!P353)</f>
        <v/>
      </c>
      <c r="I348" s="76" t="str">
        <f>IF('Engagement Log'!Q353="","",'Engagement Log'!Q353)</f>
        <v/>
      </c>
      <c r="J348" s="77" t="str">
        <f>IF('Engagement Log'!L353="","",'Engagement Log'!L353)</f>
        <v/>
      </c>
    </row>
    <row r="349" spans="1:10" x14ac:dyDescent="0.3">
      <c r="A349" s="68" t="str">
        <f>IF('Engagement Log'!O354="","",'Engagement Log'!O354)</f>
        <v/>
      </c>
      <c r="B349" s="69" t="str">
        <f ca="1">IF('Engagement Log'!O354="","",'Engagement Log'!O354-TODAY())</f>
        <v/>
      </c>
      <c r="C349" s="70" t="str">
        <f>IF('Engagement Log'!B354="","",'Engagement Log'!B354)</f>
        <v/>
      </c>
      <c r="D349" s="70" t="str">
        <f>IF('Engagement Log'!D354="","",'Engagement Log'!D354)</f>
        <v/>
      </c>
      <c r="E349" s="70" t="str">
        <f>IF('Engagement Log'!G354="","",'Engagement Log'!G354)</f>
        <v/>
      </c>
      <c r="F349" s="70" t="str">
        <f>IF('Engagement Log'!N354="","",'Engagement Log'!N354)</f>
        <v/>
      </c>
      <c r="G349" s="70" t="str">
        <f>IF('Engagement Log'!C354="","",'Engagement Log'!C354)</f>
        <v/>
      </c>
      <c r="H349" s="71" t="str">
        <f>IF('Engagement Log'!P354="","",'Engagement Log'!P354)</f>
        <v/>
      </c>
      <c r="I349" s="71" t="str">
        <f>IF('Engagement Log'!Q354="","",'Engagement Log'!Q354)</f>
        <v/>
      </c>
      <c r="J349" s="72" t="str">
        <f>IF('Engagement Log'!L354="","",'Engagement Log'!L354)</f>
        <v/>
      </c>
    </row>
    <row r="350" spans="1:10" x14ac:dyDescent="0.3">
      <c r="A350" s="73" t="str">
        <f>IF('Engagement Log'!O355="","",'Engagement Log'!O355)</f>
        <v/>
      </c>
      <c r="B350" s="74" t="str">
        <f ca="1">IF('Engagement Log'!O355="","",'Engagement Log'!O355-TODAY())</f>
        <v/>
      </c>
      <c r="C350" s="75" t="str">
        <f>IF('Engagement Log'!B355="","",'Engagement Log'!B355)</f>
        <v/>
      </c>
      <c r="D350" s="75" t="str">
        <f>IF('Engagement Log'!D355="","",'Engagement Log'!D355)</f>
        <v/>
      </c>
      <c r="E350" s="75" t="str">
        <f>IF('Engagement Log'!G355="","",'Engagement Log'!G355)</f>
        <v/>
      </c>
      <c r="F350" s="75" t="str">
        <f>IF('Engagement Log'!N355="","",'Engagement Log'!N355)</f>
        <v/>
      </c>
      <c r="G350" s="75" t="str">
        <f>IF('Engagement Log'!C355="","",'Engagement Log'!C355)</f>
        <v/>
      </c>
      <c r="H350" s="76" t="str">
        <f>IF('Engagement Log'!P355="","",'Engagement Log'!P355)</f>
        <v/>
      </c>
      <c r="I350" s="76" t="str">
        <f>IF('Engagement Log'!Q355="","",'Engagement Log'!Q355)</f>
        <v/>
      </c>
      <c r="J350" s="77" t="str">
        <f>IF('Engagement Log'!L355="","",'Engagement Log'!L355)</f>
        <v/>
      </c>
    </row>
    <row r="351" spans="1:10" x14ac:dyDescent="0.3">
      <c r="A351" s="68" t="str">
        <f>IF('Engagement Log'!O356="","",'Engagement Log'!O356)</f>
        <v/>
      </c>
      <c r="B351" s="69" t="str">
        <f ca="1">IF('Engagement Log'!O356="","",'Engagement Log'!O356-TODAY())</f>
        <v/>
      </c>
      <c r="C351" s="70" t="str">
        <f>IF('Engagement Log'!B356="","",'Engagement Log'!B356)</f>
        <v/>
      </c>
      <c r="D351" s="70" t="str">
        <f>IF('Engagement Log'!D356="","",'Engagement Log'!D356)</f>
        <v/>
      </c>
      <c r="E351" s="70" t="str">
        <f>IF('Engagement Log'!G356="","",'Engagement Log'!G356)</f>
        <v/>
      </c>
      <c r="F351" s="70" t="str">
        <f>IF('Engagement Log'!N356="","",'Engagement Log'!N356)</f>
        <v/>
      </c>
      <c r="G351" s="70" t="str">
        <f>IF('Engagement Log'!C356="","",'Engagement Log'!C356)</f>
        <v/>
      </c>
      <c r="H351" s="71" t="str">
        <f>IF('Engagement Log'!P356="","",'Engagement Log'!P356)</f>
        <v/>
      </c>
      <c r="I351" s="71" t="str">
        <f>IF('Engagement Log'!Q356="","",'Engagement Log'!Q356)</f>
        <v/>
      </c>
      <c r="J351" s="72" t="str">
        <f>IF('Engagement Log'!L356="","",'Engagement Log'!L356)</f>
        <v/>
      </c>
    </row>
    <row r="352" spans="1:10" x14ac:dyDescent="0.3">
      <c r="A352" s="73" t="str">
        <f>IF('Engagement Log'!O357="","",'Engagement Log'!O357)</f>
        <v/>
      </c>
      <c r="B352" s="74" t="str">
        <f ca="1">IF('Engagement Log'!O357="","",'Engagement Log'!O357-TODAY())</f>
        <v/>
      </c>
      <c r="C352" s="75" t="str">
        <f>IF('Engagement Log'!B357="","",'Engagement Log'!B357)</f>
        <v/>
      </c>
      <c r="D352" s="75" t="str">
        <f>IF('Engagement Log'!D357="","",'Engagement Log'!D357)</f>
        <v/>
      </c>
      <c r="E352" s="75" t="str">
        <f>IF('Engagement Log'!G357="","",'Engagement Log'!G357)</f>
        <v/>
      </c>
      <c r="F352" s="75" t="str">
        <f>IF('Engagement Log'!N357="","",'Engagement Log'!N357)</f>
        <v/>
      </c>
      <c r="G352" s="75" t="str">
        <f>IF('Engagement Log'!C357="","",'Engagement Log'!C357)</f>
        <v/>
      </c>
      <c r="H352" s="76" t="str">
        <f>IF('Engagement Log'!P357="","",'Engagement Log'!P357)</f>
        <v/>
      </c>
      <c r="I352" s="76" t="str">
        <f>IF('Engagement Log'!Q357="","",'Engagement Log'!Q357)</f>
        <v/>
      </c>
      <c r="J352" s="77" t="str">
        <f>IF('Engagement Log'!L357="","",'Engagement Log'!L357)</f>
        <v/>
      </c>
    </row>
    <row r="353" spans="1:10" x14ac:dyDescent="0.3">
      <c r="A353" s="68" t="str">
        <f>IF('Engagement Log'!O358="","",'Engagement Log'!O358)</f>
        <v/>
      </c>
      <c r="B353" s="69" t="str">
        <f ca="1">IF('Engagement Log'!O358="","",'Engagement Log'!O358-TODAY())</f>
        <v/>
      </c>
      <c r="C353" s="70" t="str">
        <f>IF('Engagement Log'!B358="","",'Engagement Log'!B358)</f>
        <v/>
      </c>
      <c r="D353" s="70" t="str">
        <f>IF('Engagement Log'!D358="","",'Engagement Log'!D358)</f>
        <v/>
      </c>
      <c r="E353" s="70" t="str">
        <f>IF('Engagement Log'!G358="","",'Engagement Log'!G358)</f>
        <v/>
      </c>
      <c r="F353" s="70" t="str">
        <f>IF('Engagement Log'!N358="","",'Engagement Log'!N358)</f>
        <v/>
      </c>
      <c r="G353" s="70" t="str">
        <f>IF('Engagement Log'!C358="","",'Engagement Log'!C358)</f>
        <v/>
      </c>
      <c r="H353" s="71" t="str">
        <f>IF('Engagement Log'!P358="","",'Engagement Log'!P358)</f>
        <v/>
      </c>
      <c r="I353" s="71" t="str">
        <f>IF('Engagement Log'!Q358="","",'Engagement Log'!Q358)</f>
        <v/>
      </c>
      <c r="J353" s="72" t="str">
        <f>IF('Engagement Log'!L358="","",'Engagement Log'!L358)</f>
        <v/>
      </c>
    </row>
    <row r="354" spans="1:10" x14ac:dyDescent="0.3">
      <c r="A354" s="73" t="str">
        <f>IF('Engagement Log'!O359="","",'Engagement Log'!O359)</f>
        <v/>
      </c>
      <c r="B354" s="74" t="str">
        <f ca="1">IF('Engagement Log'!O359="","",'Engagement Log'!O359-TODAY())</f>
        <v/>
      </c>
      <c r="C354" s="75" t="str">
        <f>IF('Engagement Log'!B359="","",'Engagement Log'!B359)</f>
        <v/>
      </c>
      <c r="D354" s="75" t="str">
        <f>IF('Engagement Log'!D359="","",'Engagement Log'!D359)</f>
        <v/>
      </c>
      <c r="E354" s="75" t="str">
        <f>IF('Engagement Log'!G359="","",'Engagement Log'!G359)</f>
        <v/>
      </c>
      <c r="F354" s="75" t="str">
        <f>IF('Engagement Log'!N359="","",'Engagement Log'!N359)</f>
        <v/>
      </c>
      <c r="G354" s="75" t="str">
        <f>IF('Engagement Log'!C359="","",'Engagement Log'!C359)</f>
        <v/>
      </c>
      <c r="H354" s="76" t="str">
        <f>IF('Engagement Log'!P359="","",'Engagement Log'!P359)</f>
        <v/>
      </c>
      <c r="I354" s="76" t="str">
        <f>IF('Engagement Log'!Q359="","",'Engagement Log'!Q359)</f>
        <v/>
      </c>
      <c r="J354" s="77" t="str">
        <f>IF('Engagement Log'!L359="","",'Engagement Log'!L359)</f>
        <v/>
      </c>
    </row>
    <row r="355" spans="1:10" x14ac:dyDescent="0.3">
      <c r="A355" s="68" t="str">
        <f>IF('Engagement Log'!O360="","",'Engagement Log'!O360)</f>
        <v/>
      </c>
      <c r="B355" s="69" t="str">
        <f ca="1">IF('Engagement Log'!O360="","",'Engagement Log'!O360-TODAY())</f>
        <v/>
      </c>
      <c r="C355" s="70" t="str">
        <f>IF('Engagement Log'!B360="","",'Engagement Log'!B360)</f>
        <v/>
      </c>
      <c r="D355" s="70" t="str">
        <f>IF('Engagement Log'!D360="","",'Engagement Log'!D360)</f>
        <v/>
      </c>
      <c r="E355" s="70" t="str">
        <f>IF('Engagement Log'!G360="","",'Engagement Log'!G360)</f>
        <v/>
      </c>
      <c r="F355" s="70" t="str">
        <f>IF('Engagement Log'!N360="","",'Engagement Log'!N360)</f>
        <v/>
      </c>
      <c r="G355" s="70" t="str">
        <f>IF('Engagement Log'!C360="","",'Engagement Log'!C360)</f>
        <v/>
      </c>
      <c r="H355" s="71" t="str">
        <f>IF('Engagement Log'!P360="","",'Engagement Log'!P360)</f>
        <v/>
      </c>
      <c r="I355" s="71" t="str">
        <f>IF('Engagement Log'!Q360="","",'Engagement Log'!Q360)</f>
        <v/>
      </c>
      <c r="J355" s="72" t="str">
        <f>IF('Engagement Log'!L360="","",'Engagement Log'!L360)</f>
        <v/>
      </c>
    </row>
    <row r="356" spans="1:10" x14ac:dyDescent="0.3">
      <c r="A356" s="73" t="str">
        <f>IF('Engagement Log'!O361="","",'Engagement Log'!O361)</f>
        <v/>
      </c>
      <c r="B356" s="74" t="str">
        <f ca="1">IF('Engagement Log'!O361="","",'Engagement Log'!O361-TODAY())</f>
        <v/>
      </c>
      <c r="C356" s="75" t="str">
        <f>IF('Engagement Log'!B361="","",'Engagement Log'!B361)</f>
        <v/>
      </c>
      <c r="D356" s="75" t="str">
        <f>IF('Engagement Log'!D361="","",'Engagement Log'!D361)</f>
        <v/>
      </c>
      <c r="E356" s="75" t="str">
        <f>IF('Engagement Log'!G361="","",'Engagement Log'!G361)</f>
        <v/>
      </c>
      <c r="F356" s="75" t="str">
        <f>IF('Engagement Log'!N361="","",'Engagement Log'!N361)</f>
        <v/>
      </c>
      <c r="G356" s="75" t="str">
        <f>IF('Engagement Log'!C361="","",'Engagement Log'!C361)</f>
        <v/>
      </c>
      <c r="H356" s="76" t="str">
        <f>IF('Engagement Log'!P361="","",'Engagement Log'!P361)</f>
        <v/>
      </c>
      <c r="I356" s="76" t="str">
        <f>IF('Engagement Log'!Q361="","",'Engagement Log'!Q361)</f>
        <v/>
      </c>
      <c r="J356" s="77" t="str">
        <f>IF('Engagement Log'!L361="","",'Engagement Log'!L361)</f>
        <v/>
      </c>
    </row>
    <row r="357" spans="1:10" x14ac:dyDescent="0.3">
      <c r="A357" s="68" t="str">
        <f>IF('Engagement Log'!O362="","",'Engagement Log'!O362)</f>
        <v/>
      </c>
      <c r="B357" s="69" t="str">
        <f ca="1">IF('Engagement Log'!O362="","",'Engagement Log'!O362-TODAY())</f>
        <v/>
      </c>
      <c r="C357" s="70" t="str">
        <f>IF('Engagement Log'!B362="","",'Engagement Log'!B362)</f>
        <v/>
      </c>
      <c r="D357" s="70" t="str">
        <f>IF('Engagement Log'!D362="","",'Engagement Log'!D362)</f>
        <v/>
      </c>
      <c r="E357" s="70" t="str">
        <f>IF('Engagement Log'!G362="","",'Engagement Log'!G362)</f>
        <v/>
      </c>
      <c r="F357" s="70" t="str">
        <f>IF('Engagement Log'!N362="","",'Engagement Log'!N362)</f>
        <v/>
      </c>
      <c r="G357" s="70" t="str">
        <f>IF('Engagement Log'!C362="","",'Engagement Log'!C362)</f>
        <v/>
      </c>
      <c r="H357" s="71" t="str">
        <f>IF('Engagement Log'!P362="","",'Engagement Log'!P362)</f>
        <v/>
      </c>
      <c r="I357" s="71" t="str">
        <f>IF('Engagement Log'!Q362="","",'Engagement Log'!Q362)</f>
        <v/>
      </c>
      <c r="J357" s="72" t="str">
        <f>IF('Engagement Log'!L362="","",'Engagement Log'!L362)</f>
        <v/>
      </c>
    </row>
    <row r="358" spans="1:10" x14ac:dyDescent="0.3">
      <c r="A358" s="73" t="str">
        <f>IF('Engagement Log'!O363="","",'Engagement Log'!O363)</f>
        <v/>
      </c>
      <c r="B358" s="74" t="str">
        <f ca="1">IF('Engagement Log'!O363="","",'Engagement Log'!O363-TODAY())</f>
        <v/>
      </c>
      <c r="C358" s="75" t="str">
        <f>IF('Engagement Log'!B363="","",'Engagement Log'!B363)</f>
        <v/>
      </c>
      <c r="D358" s="75" t="str">
        <f>IF('Engagement Log'!D363="","",'Engagement Log'!D363)</f>
        <v/>
      </c>
      <c r="E358" s="75" t="str">
        <f>IF('Engagement Log'!G363="","",'Engagement Log'!G363)</f>
        <v/>
      </c>
      <c r="F358" s="75" t="str">
        <f>IF('Engagement Log'!N363="","",'Engagement Log'!N363)</f>
        <v/>
      </c>
      <c r="G358" s="75" t="str">
        <f>IF('Engagement Log'!C363="","",'Engagement Log'!C363)</f>
        <v/>
      </c>
      <c r="H358" s="76" t="str">
        <f>IF('Engagement Log'!P363="","",'Engagement Log'!P363)</f>
        <v/>
      </c>
      <c r="I358" s="76" t="str">
        <f>IF('Engagement Log'!Q363="","",'Engagement Log'!Q363)</f>
        <v/>
      </c>
      <c r="J358" s="77" t="str">
        <f>IF('Engagement Log'!L363="","",'Engagement Log'!L363)</f>
        <v/>
      </c>
    </row>
    <row r="359" spans="1:10" x14ac:dyDescent="0.3">
      <c r="A359" s="68" t="str">
        <f>IF('Engagement Log'!O364="","",'Engagement Log'!O364)</f>
        <v/>
      </c>
      <c r="B359" s="69" t="str">
        <f ca="1">IF('Engagement Log'!O364="","",'Engagement Log'!O364-TODAY())</f>
        <v/>
      </c>
      <c r="C359" s="70" t="str">
        <f>IF('Engagement Log'!B364="","",'Engagement Log'!B364)</f>
        <v/>
      </c>
      <c r="D359" s="70" t="str">
        <f>IF('Engagement Log'!D364="","",'Engagement Log'!D364)</f>
        <v/>
      </c>
      <c r="E359" s="70" t="str">
        <f>IF('Engagement Log'!G364="","",'Engagement Log'!G364)</f>
        <v/>
      </c>
      <c r="F359" s="70" t="str">
        <f>IF('Engagement Log'!N364="","",'Engagement Log'!N364)</f>
        <v/>
      </c>
      <c r="G359" s="70" t="str">
        <f>IF('Engagement Log'!C364="","",'Engagement Log'!C364)</f>
        <v/>
      </c>
      <c r="H359" s="71" t="str">
        <f>IF('Engagement Log'!P364="","",'Engagement Log'!P364)</f>
        <v/>
      </c>
      <c r="I359" s="71" t="str">
        <f>IF('Engagement Log'!Q364="","",'Engagement Log'!Q364)</f>
        <v/>
      </c>
      <c r="J359" s="72" t="str">
        <f>IF('Engagement Log'!L364="","",'Engagement Log'!L364)</f>
        <v/>
      </c>
    </row>
    <row r="360" spans="1:10" x14ac:dyDescent="0.3">
      <c r="A360" s="73" t="str">
        <f>IF('Engagement Log'!O365="","",'Engagement Log'!O365)</f>
        <v/>
      </c>
      <c r="B360" s="74" t="str">
        <f ca="1">IF('Engagement Log'!O365="","",'Engagement Log'!O365-TODAY())</f>
        <v/>
      </c>
      <c r="C360" s="75" t="str">
        <f>IF('Engagement Log'!B365="","",'Engagement Log'!B365)</f>
        <v/>
      </c>
      <c r="D360" s="75" t="str">
        <f>IF('Engagement Log'!D365="","",'Engagement Log'!D365)</f>
        <v/>
      </c>
      <c r="E360" s="75" t="str">
        <f>IF('Engagement Log'!G365="","",'Engagement Log'!G365)</f>
        <v/>
      </c>
      <c r="F360" s="75" t="str">
        <f>IF('Engagement Log'!N365="","",'Engagement Log'!N365)</f>
        <v/>
      </c>
      <c r="G360" s="75" t="str">
        <f>IF('Engagement Log'!C365="","",'Engagement Log'!C365)</f>
        <v/>
      </c>
      <c r="H360" s="76" t="str">
        <f>IF('Engagement Log'!P365="","",'Engagement Log'!P365)</f>
        <v/>
      </c>
      <c r="I360" s="76" t="str">
        <f>IF('Engagement Log'!Q365="","",'Engagement Log'!Q365)</f>
        <v/>
      </c>
      <c r="J360" s="77" t="str">
        <f>IF('Engagement Log'!L365="","",'Engagement Log'!L365)</f>
        <v/>
      </c>
    </row>
    <row r="361" spans="1:10" x14ac:dyDescent="0.3">
      <c r="A361" s="68" t="str">
        <f>IF('Engagement Log'!O366="","",'Engagement Log'!O366)</f>
        <v/>
      </c>
      <c r="B361" s="69" t="str">
        <f ca="1">IF('Engagement Log'!O366="","",'Engagement Log'!O366-TODAY())</f>
        <v/>
      </c>
      <c r="C361" s="70" t="str">
        <f>IF('Engagement Log'!B366="","",'Engagement Log'!B366)</f>
        <v/>
      </c>
      <c r="D361" s="70" t="str">
        <f>IF('Engagement Log'!D366="","",'Engagement Log'!D366)</f>
        <v/>
      </c>
      <c r="E361" s="70" t="str">
        <f>IF('Engagement Log'!G366="","",'Engagement Log'!G366)</f>
        <v/>
      </c>
      <c r="F361" s="70" t="str">
        <f>IF('Engagement Log'!N366="","",'Engagement Log'!N366)</f>
        <v/>
      </c>
      <c r="G361" s="70" t="str">
        <f>IF('Engagement Log'!C366="","",'Engagement Log'!C366)</f>
        <v/>
      </c>
      <c r="H361" s="71" t="str">
        <f>IF('Engagement Log'!P366="","",'Engagement Log'!P366)</f>
        <v/>
      </c>
      <c r="I361" s="71" t="str">
        <f>IF('Engagement Log'!Q366="","",'Engagement Log'!Q366)</f>
        <v/>
      </c>
      <c r="J361" s="72" t="str">
        <f>IF('Engagement Log'!L366="","",'Engagement Log'!L366)</f>
        <v/>
      </c>
    </row>
    <row r="362" spans="1:10" x14ac:dyDescent="0.3">
      <c r="A362" s="73" t="str">
        <f>IF('Engagement Log'!O367="","",'Engagement Log'!O367)</f>
        <v/>
      </c>
      <c r="B362" s="74" t="str">
        <f ca="1">IF('Engagement Log'!O367="","",'Engagement Log'!O367-TODAY())</f>
        <v/>
      </c>
      <c r="C362" s="75" t="str">
        <f>IF('Engagement Log'!B367="","",'Engagement Log'!B367)</f>
        <v/>
      </c>
      <c r="D362" s="75" t="str">
        <f>IF('Engagement Log'!D367="","",'Engagement Log'!D367)</f>
        <v/>
      </c>
      <c r="E362" s="75" t="str">
        <f>IF('Engagement Log'!G367="","",'Engagement Log'!G367)</f>
        <v/>
      </c>
      <c r="F362" s="75" t="str">
        <f>IF('Engagement Log'!N367="","",'Engagement Log'!N367)</f>
        <v/>
      </c>
      <c r="G362" s="75" t="str">
        <f>IF('Engagement Log'!C367="","",'Engagement Log'!C367)</f>
        <v/>
      </c>
      <c r="H362" s="76" t="str">
        <f>IF('Engagement Log'!P367="","",'Engagement Log'!P367)</f>
        <v/>
      </c>
      <c r="I362" s="76" t="str">
        <f>IF('Engagement Log'!Q367="","",'Engagement Log'!Q367)</f>
        <v/>
      </c>
      <c r="J362" s="77" t="str">
        <f>IF('Engagement Log'!L367="","",'Engagement Log'!L367)</f>
        <v/>
      </c>
    </row>
    <row r="363" spans="1:10" x14ac:dyDescent="0.3">
      <c r="A363" s="68" t="str">
        <f>IF('Engagement Log'!O368="","",'Engagement Log'!O368)</f>
        <v/>
      </c>
      <c r="B363" s="69" t="str">
        <f ca="1">IF('Engagement Log'!O368="","",'Engagement Log'!O368-TODAY())</f>
        <v/>
      </c>
      <c r="C363" s="70" t="str">
        <f>IF('Engagement Log'!B368="","",'Engagement Log'!B368)</f>
        <v/>
      </c>
      <c r="D363" s="70" t="str">
        <f>IF('Engagement Log'!D368="","",'Engagement Log'!D368)</f>
        <v/>
      </c>
      <c r="E363" s="70" t="str">
        <f>IF('Engagement Log'!G368="","",'Engagement Log'!G368)</f>
        <v/>
      </c>
      <c r="F363" s="70" t="str">
        <f>IF('Engagement Log'!N368="","",'Engagement Log'!N368)</f>
        <v/>
      </c>
      <c r="G363" s="70" t="str">
        <f>IF('Engagement Log'!C368="","",'Engagement Log'!C368)</f>
        <v/>
      </c>
      <c r="H363" s="71" t="str">
        <f>IF('Engagement Log'!P368="","",'Engagement Log'!P368)</f>
        <v/>
      </c>
      <c r="I363" s="71" t="str">
        <f>IF('Engagement Log'!Q368="","",'Engagement Log'!Q368)</f>
        <v/>
      </c>
      <c r="J363" s="72" t="str">
        <f>IF('Engagement Log'!L368="","",'Engagement Log'!L368)</f>
        <v/>
      </c>
    </row>
    <row r="364" spans="1:10" x14ac:dyDescent="0.3">
      <c r="A364" s="73" t="str">
        <f>IF('Engagement Log'!O369="","",'Engagement Log'!O369)</f>
        <v/>
      </c>
      <c r="B364" s="74" t="str">
        <f ca="1">IF('Engagement Log'!O369="","",'Engagement Log'!O369-TODAY())</f>
        <v/>
      </c>
      <c r="C364" s="75" t="str">
        <f>IF('Engagement Log'!B369="","",'Engagement Log'!B369)</f>
        <v/>
      </c>
      <c r="D364" s="75" t="str">
        <f>IF('Engagement Log'!D369="","",'Engagement Log'!D369)</f>
        <v/>
      </c>
      <c r="E364" s="75" t="str">
        <f>IF('Engagement Log'!G369="","",'Engagement Log'!G369)</f>
        <v/>
      </c>
      <c r="F364" s="75" t="str">
        <f>IF('Engagement Log'!N369="","",'Engagement Log'!N369)</f>
        <v/>
      </c>
      <c r="G364" s="75" t="str">
        <f>IF('Engagement Log'!C369="","",'Engagement Log'!C369)</f>
        <v/>
      </c>
      <c r="H364" s="76" t="str">
        <f>IF('Engagement Log'!P369="","",'Engagement Log'!P369)</f>
        <v/>
      </c>
      <c r="I364" s="76" t="str">
        <f>IF('Engagement Log'!Q369="","",'Engagement Log'!Q369)</f>
        <v/>
      </c>
      <c r="J364" s="77" t="str">
        <f>IF('Engagement Log'!L369="","",'Engagement Log'!L369)</f>
        <v/>
      </c>
    </row>
    <row r="365" spans="1:10" x14ac:dyDescent="0.3">
      <c r="A365" s="68" t="str">
        <f>IF('Engagement Log'!O370="","",'Engagement Log'!O370)</f>
        <v/>
      </c>
      <c r="B365" s="69" t="str">
        <f ca="1">IF('Engagement Log'!O370="","",'Engagement Log'!O370-TODAY())</f>
        <v/>
      </c>
      <c r="C365" s="70" t="str">
        <f>IF('Engagement Log'!B370="","",'Engagement Log'!B370)</f>
        <v/>
      </c>
      <c r="D365" s="70" t="str">
        <f>IF('Engagement Log'!D370="","",'Engagement Log'!D370)</f>
        <v/>
      </c>
      <c r="E365" s="70" t="str">
        <f>IF('Engagement Log'!G370="","",'Engagement Log'!G370)</f>
        <v/>
      </c>
      <c r="F365" s="70" t="str">
        <f>IF('Engagement Log'!N370="","",'Engagement Log'!N370)</f>
        <v/>
      </c>
      <c r="G365" s="70" t="str">
        <f>IF('Engagement Log'!C370="","",'Engagement Log'!C370)</f>
        <v/>
      </c>
      <c r="H365" s="71" t="str">
        <f>IF('Engagement Log'!P370="","",'Engagement Log'!P370)</f>
        <v/>
      </c>
      <c r="I365" s="71" t="str">
        <f>IF('Engagement Log'!Q370="","",'Engagement Log'!Q370)</f>
        <v/>
      </c>
      <c r="J365" s="72" t="str">
        <f>IF('Engagement Log'!L370="","",'Engagement Log'!L370)</f>
        <v/>
      </c>
    </row>
    <row r="366" spans="1:10" x14ac:dyDescent="0.3">
      <c r="A366" s="73" t="str">
        <f>IF('Engagement Log'!O371="","",'Engagement Log'!O371)</f>
        <v/>
      </c>
      <c r="B366" s="74" t="str">
        <f ca="1">IF('Engagement Log'!O371="","",'Engagement Log'!O371-TODAY())</f>
        <v/>
      </c>
      <c r="C366" s="75" t="str">
        <f>IF('Engagement Log'!B371="","",'Engagement Log'!B371)</f>
        <v/>
      </c>
      <c r="D366" s="75" t="str">
        <f>IF('Engagement Log'!D371="","",'Engagement Log'!D371)</f>
        <v/>
      </c>
      <c r="E366" s="75" t="str">
        <f>IF('Engagement Log'!G371="","",'Engagement Log'!G371)</f>
        <v/>
      </c>
      <c r="F366" s="75" t="str">
        <f>IF('Engagement Log'!N371="","",'Engagement Log'!N371)</f>
        <v/>
      </c>
      <c r="G366" s="75" t="str">
        <f>IF('Engagement Log'!C371="","",'Engagement Log'!C371)</f>
        <v/>
      </c>
      <c r="H366" s="76" t="str">
        <f>IF('Engagement Log'!P371="","",'Engagement Log'!P371)</f>
        <v/>
      </c>
      <c r="I366" s="76" t="str">
        <f>IF('Engagement Log'!Q371="","",'Engagement Log'!Q371)</f>
        <v/>
      </c>
      <c r="J366" s="77" t="str">
        <f>IF('Engagement Log'!L371="","",'Engagement Log'!L371)</f>
        <v/>
      </c>
    </row>
    <row r="367" spans="1:10" x14ac:dyDescent="0.3">
      <c r="A367" s="68" t="str">
        <f>IF('Engagement Log'!O372="","",'Engagement Log'!O372)</f>
        <v/>
      </c>
      <c r="B367" s="69" t="str">
        <f ca="1">IF('Engagement Log'!O372="","",'Engagement Log'!O372-TODAY())</f>
        <v/>
      </c>
      <c r="C367" s="70" t="str">
        <f>IF('Engagement Log'!B372="","",'Engagement Log'!B372)</f>
        <v/>
      </c>
      <c r="D367" s="70" t="str">
        <f>IF('Engagement Log'!D372="","",'Engagement Log'!D372)</f>
        <v/>
      </c>
      <c r="E367" s="70" t="str">
        <f>IF('Engagement Log'!G372="","",'Engagement Log'!G372)</f>
        <v/>
      </c>
      <c r="F367" s="70" t="str">
        <f>IF('Engagement Log'!N372="","",'Engagement Log'!N372)</f>
        <v/>
      </c>
      <c r="G367" s="70" t="str">
        <f>IF('Engagement Log'!C372="","",'Engagement Log'!C372)</f>
        <v/>
      </c>
      <c r="H367" s="71" t="str">
        <f>IF('Engagement Log'!P372="","",'Engagement Log'!P372)</f>
        <v/>
      </c>
      <c r="I367" s="71" t="str">
        <f>IF('Engagement Log'!Q372="","",'Engagement Log'!Q372)</f>
        <v/>
      </c>
      <c r="J367" s="72" t="str">
        <f>IF('Engagement Log'!L372="","",'Engagement Log'!L372)</f>
        <v/>
      </c>
    </row>
    <row r="368" spans="1:10" x14ac:dyDescent="0.3">
      <c r="A368" s="73" t="str">
        <f>IF('Engagement Log'!O373="","",'Engagement Log'!O373)</f>
        <v/>
      </c>
      <c r="B368" s="74" t="str">
        <f ca="1">IF('Engagement Log'!O373="","",'Engagement Log'!O373-TODAY())</f>
        <v/>
      </c>
      <c r="C368" s="75" t="str">
        <f>IF('Engagement Log'!B373="","",'Engagement Log'!B373)</f>
        <v/>
      </c>
      <c r="D368" s="75" t="str">
        <f>IF('Engagement Log'!D373="","",'Engagement Log'!D373)</f>
        <v/>
      </c>
      <c r="E368" s="75" t="str">
        <f>IF('Engagement Log'!G373="","",'Engagement Log'!G373)</f>
        <v/>
      </c>
      <c r="F368" s="75" t="str">
        <f>IF('Engagement Log'!N373="","",'Engagement Log'!N373)</f>
        <v/>
      </c>
      <c r="G368" s="75" t="str">
        <f>IF('Engagement Log'!C373="","",'Engagement Log'!C373)</f>
        <v/>
      </c>
      <c r="H368" s="76" t="str">
        <f>IF('Engagement Log'!P373="","",'Engagement Log'!P373)</f>
        <v/>
      </c>
      <c r="I368" s="76" t="str">
        <f>IF('Engagement Log'!Q373="","",'Engagement Log'!Q373)</f>
        <v/>
      </c>
      <c r="J368" s="77" t="str">
        <f>IF('Engagement Log'!L373="","",'Engagement Log'!L373)</f>
        <v/>
      </c>
    </row>
    <row r="369" spans="1:10" x14ac:dyDescent="0.3">
      <c r="A369" s="68" t="str">
        <f>IF('Engagement Log'!O374="","",'Engagement Log'!O374)</f>
        <v/>
      </c>
      <c r="B369" s="69" t="str">
        <f ca="1">IF('Engagement Log'!O374="","",'Engagement Log'!O374-TODAY())</f>
        <v/>
      </c>
      <c r="C369" s="70" t="str">
        <f>IF('Engagement Log'!B374="","",'Engagement Log'!B374)</f>
        <v/>
      </c>
      <c r="D369" s="70" t="str">
        <f>IF('Engagement Log'!D374="","",'Engagement Log'!D374)</f>
        <v/>
      </c>
      <c r="E369" s="70" t="str">
        <f>IF('Engagement Log'!G374="","",'Engagement Log'!G374)</f>
        <v/>
      </c>
      <c r="F369" s="70" t="str">
        <f>IF('Engagement Log'!N374="","",'Engagement Log'!N374)</f>
        <v/>
      </c>
      <c r="G369" s="70" t="str">
        <f>IF('Engagement Log'!C374="","",'Engagement Log'!C374)</f>
        <v/>
      </c>
      <c r="H369" s="71" t="str">
        <f>IF('Engagement Log'!P374="","",'Engagement Log'!P374)</f>
        <v/>
      </c>
      <c r="I369" s="71" t="str">
        <f>IF('Engagement Log'!Q374="","",'Engagement Log'!Q374)</f>
        <v/>
      </c>
      <c r="J369" s="72" t="str">
        <f>IF('Engagement Log'!L374="","",'Engagement Log'!L374)</f>
        <v/>
      </c>
    </row>
    <row r="370" spans="1:10" x14ac:dyDescent="0.3">
      <c r="A370" s="73" t="str">
        <f>IF('Engagement Log'!O375="","",'Engagement Log'!O375)</f>
        <v/>
      </c>
      <c r="B370" s="74" t="str">
        <f ca="1">IF('Engagement Log'!O375="","",'Engagement Log'!O375-TODAY())</f>
        <v/>
      </c>
      <c r="C370" s="75" t="str">
        <f>IF('Engagement Log'!B375="","",'Engagement Log'!B375)</f>
        <v/>
      </c>
      <c r="D370" s="75" t="str">
        <f>IF('Engagement Log'!D375="","",'Engagement Log'!D375)</f>
        <v/>
      </c>
      <c r="E370" s="75" t="str">
        <f>IF('Engagement Log'!G375="","",'Engagement Log'!G375)</f>
        <v/>
      </c>
      <c r="F370" s="75" t="str">
        <f>IF('Engagement Log'!N375="","",'Engagement Log'!N375)</f>
        <v/>
      </c>
      <c r="G370" s="75" t="str">
        <f>IF('Engagement Log'!C375="","",'Engagement Log'!C375)</f>
        <v/>
      </c>
      <c r="H370" s="76" t="str">
        <f>IF('Engagement Log'!P375="","",'Engagement Log'!P375)</f>
        <v/>
      </c>
      <c r="I370" s="76" t="str">
        <f>IF('Engagement Log'!Q375="","",'Engagement Log'!Q375)</f>
        <v/>
      </c>
      <c r="J370" s="77" t="str">
        <f>IF('Engagement Log'!L375="","",'Engagement Log'!L375)</f>
        <v/>
      </c>
    </row>
    <row r="371" spans="1:10" x14ac:dyDescent="0.3">
      <c r="A371" s="68" t="str">
        <f>IF('Engagement Log'!O376="","",'Engagement Log'!O376)</f>
        <v/>
      </c>
      <c r="B371" s="69" t="str">
        <f ca="1">IF('Engagement Log'!O376="","",'Engagement Log'!O376-TODAY())</f>
        <v/>
      </c>
      <c r="C371" s="70" t="str">
        <f>IF('Engagement Log'!B376="","",'Engagement Log'!B376)</f>
        <v/>
      </c>
      <c r="D371" s="70" t="str">
        <f>IF('Engagement Log'!D376="","",'Engagement Log'!D376)</f>
        <v/>
      </c>
      <c r="E371" s="70" t="str">
        <f>IF('Engagement Log'!G376="","",'Engagement Log'!G376)</f>
        <v/>
      </c>
      <c r="F371" s="70" t="str">
        <f>IF('Engagement Log'!N376="","",'Engagement Log'!N376)</f>
        <v/>
      </c>
      <c r="G371" s="70" t="str">
        <f>IF('Engagement Log'!C376="","",'Engagement Log'!C376)</f>
        <v/>
      </c>
      <c r="H371" s="71" t="str">
        <f>IF('Engagement Log'!P376="","",'Engagement Log'!P376)</f>
        <v/>
      </c>
      <c r="I371" s="71" t="str">
        <f>IF('Engagement Log'!Q376="","",'Engagement Log'!Q376)</f>
        <v/>
      </c>
      <c r="J371" s="72" t="str">
        <f>IF('Engagement Log'!L376="","",'Engagement Log'!L376)</f>
        <v/>
      </c>
    </row>
    <row r="372" spans="1:10" x14ac:dyDescent="0.3">
      <c r="A372" s="73" t="str">
        <f>IF('Engagement Log'!O377="","",'Engagement Log'!O377)</f>
        <v/>
      </c>
      <c r="B372" s="74" t="str">
        <f ca="1">IF('Engagement Log'!O377="","",'Engagement Log'!O377-TODAY())</f>
        <v/>
      </c>
      <c r="C372" s="75" t="str">
        <f>IF('Engagement Log'!B377="","",'Engagement Log'!B377)</f>
        <v/>
      </c>
      <c r="D372" s="75" t="str">
        <f>IF('Engagement Log'!D377="","",'Engagement Log'!D377)</f>
        <v/>
      </c>
      <c r="E372" s="75" t="str">
        <f>IF('Engagement Log'!G377="","",'Engagement Log'!G377)</f>
        <v/>
      </c>
      <c r="F372" s="75" t="str">
        <f>IF('Engagement Log'!N377="","",'Engagement Log'!N377)</f>
        <v/>
      </c>
      <c r="G372" s="75" t="str">
        <f>IF('Engagement Log'!C377="","",'Engagement Log'!C377)</f>
        <v/>
      </c>
      <c r="H372" s="76" t="str">
        <f>IF('Engagement Log'!P377="","",'Engagement Log'!P377)</f>
        <v/>
      </c>
      <c r="I372" s="76" t="str">
        <f>IF('Engagement Log'!Q377="","",'Engagement Log'!Q377)</f>
        <v/>
      </c>
      <c r="J372" s="77" t="str">
        <f>IF('Engagement Log'!L377="","",'Engagement Log'!L377)</f>
        <v/>
      </c>
    </row>
    <row r="373" spans="1:10" x14ac:dyDescent="0.3">
      <c r="A373" s="68" t="str">
        <f>IF('Engagement Log'!O378="","",'Engagement Log'!O378)</f>
        <v/>
      </c>
      <c r="B373" s="69" t="str">
        <f ca="1">IF('Engagement Log'!O378="","",'Engagement Log'!O378-TODAY())</f>
        <v/>
      </c>
      <c r="C373" s="70" t="str">
        <f>IF('Engagement Log'!B378="","",'Engagement Log'!B378)</f>
        <v/>
      </c>
      <c r="D373" s="70" t="str">
        <f>IF('Engagement Log'!D378="","",'Engagement Log'!D378)</f>
        <v/>
      </c>
      <c r="E373" s="70" t="str">
        <f>IF('Engagement Log'!G378="","",'Engagement Log'!G378)</f>
        <v/>
      </c>
      <c r="F373" s="70" t="str">
        <f>IF('Engagement Log'!N378="","",'Engagement Log'!N378)</f>
        <v/>
      </c>
      <c r="G373" s="70" t="str">
        <f>IF('Engagement Log'!C378="","",'Engagement Log'!C378)</f>
        <v/>
      </c>
      <c r="H373" s="71" t="str">
        <f>IF('Engagement Log'!P378="","",'Engagement Log'!P378)</f>
        <v/>
      </c>
      <c r="I373" s="71" t="str">
        <f>IF('Engagement Log'!Q378="","",'Engagement Log'!Q378)</f>
        <v/>
      </c>
      <c r="J373" s="72" t="str">
        <f>IF('Engagement Log'!L378="","",'Engagement Log'!L378)</f>
        <v/>
      </c>
    </row>
    <row r="374" spans="1:10" x14ac:dyDescent="0.3">
      <c r="A374" s="73" t="str">
        <f>IF('Engagement Log'!O379="","",'Engagement Log'!O379)</f>
        <v/>
      </c>
      <c r="B374" s="74" t="str">
        <f ca="1">IF('Engagement Log'!O379="","",'Engagement Log'!O379-TODAY())</f>
        <v/>
      </c>
      <c r="C374" s="75" t="str">
        <f>IF('Engagement Log'!B379="","",'Engagement Log'!B379)</f>
        <v/>
      </c>
      <c r="D374" s="75" t="str">
        <f>IF('Engagement Log'!D379="","",'Engagement Log'!D379)</f>
        <v/>
      </c>
      <c r="E374" s="75" t="str">
        <f>IF('Engagement Log'!G379="","",'Engagement Log'!G379)</f>
        <v/>
      </c>
      <c r="F374" s="75" t="str">
        <f>IF('Engagement Log'!N379="","",'Engagement Log'!N379)</f>
        <v/>
      </c>
      <c r="G374" s="75" t="str">
        <f>IF('Engagement Log'!C379="","",'Engagement Log'!C379)</f>
        <v/>
      </c>
      <c r="H374" s="76" t="str">
        <f>IF('Engagement Log'!P379="","",'Engagement Log'!P379)</f>
        <v/>
      </c>
      <c r="I374" s="76" t="str">
        <f>IF('Engagement Log'!Q379="","",'Engagement Log'!Q379)</f>
        <v/>
      </c>
      <c r="J374" s="77" t="str">
        <f>IF('Engagement Log'!L379="","",'Engagement Log'!L379)</f>
        <v/>
      </c>
    </row>
    <row r="375" spans="1:10" x14ac:dyDescent="0.3">
      <c r="A375" s="68" t="str">
        <f>IF('Engagement Log'!O380="","",'Engagement Log'!O380)</f>
        <v/>
      </c>
      <c r="B375" s="69" t="str">
        <f ca="1">IF('Engagement Log'!O380="","",'Engagement Log'!O380-TODAY())</f>
        <v/>
      </c>
      <c r="C375" s="70" t="str">
        <f>IF('Engagement Log'!B380="","",'Engagement Log'!B380)</f>
        <v/>
      </c>
      <c r="D375" s="70" t="str">
        <f>IF('Engagement Log'!D380="","",'Engagement Log'!D380)</f>
        <v/>
      </c>
      <c r="E375" s="70" t="str">
        <f>IF('Engagement Log'!G380="","",'Engagement Log'!G380)</f>
        <v/>
      </c>
      <c r="F375" s="70" t="str">
        <f>IF('Engagement Log'!N380="","",'Engagement Log'!N380)</f>
        <v/>
      </c>
      <c r="G375" s="70" t="str">
        <f>IF('Engagement Log'!C380="","",'Engagement Log'!C380)</f>
        <v/>
      </c>
      <c r="H375" s="71" t="str">
        <f>IF('Engagement Log'!P380="","",'Engagement Log'!P380)</f>
        <v/>
      </c>
      <c r="I375" s="71" t="str">
        <f>IF('Engagement Log'!Q380="","",'Engagement Log'!Q380)</f>
        <v/>
      </c>
      <c r="J375" s="72" t="str">
        <f>IF('Engagement Log'!L380="","",'Engagement Log'!L380)</f>
        <v/>
      </c>
    </row>
    <row r="376" spans="1:10" x14ac:dyDescent="0.3">
      <c r="A376" s="73" t="str">
        <f>IF('Engagement Log'!O381="","",'Engagement Log'!O381)</f>
        <v/>
      </c>
      <c r="B376" s="74" t="str">
        <f ca="1">IF('Engagement Log'!O381="","",'Engagement Log'!O381-TODAY())</f>
        <v/>
      </c>
      <c r="C376" s="75" t="str">
        <f>IF('Engagement Log'!B381="","",'Engagement Log'!B381)</f>
        <v/>
      </c>
      <c r="D376" s="75" t="str">
        <f>IF('Engagement Log'!D381="","",'Engagement Log'!D381)</f>
        <v/>
      </c>
      <c r="E376" s="75" t="str">
        <f>IF('Engagement Log'!G381="","",'Engagement Log'!G381)</f>
        <v/>
      </c>
      <c r="F376" s="75" t="str">
        <f>IF('Engagement Log'!N381="","",'Engagement Log'!N381)</f>
        <v/>
      </c>
      <c r="G376" s="75" t="str">
        <f>IF('Engagement Log'!C381="","",'Engagement Log'!C381)</f>
        <v/>
      </c>
      <c r="H376" s="76" t="str">
        <f>IF('Engagement Log'!P381="","",'Engagement Log'!P381)</f>
        <v/>
      </c>
      <c r="I376" s="76" t="str">
        <f>IF('Engagement Log'!Q381="","",'Engagement Log'!Q381)</f>
        <v/>
      </c>
      <c r="J376" s="77" t="str">
        <f>IF('Engagement Log'!L381="","",'Engagement Log'!L381)</f>
        <v/>
      </c>
    </row>
    <row r="377" spans="1:10" x14ac:dyDescent="0.3">
      <c r="A377" s="68" t="str">
        <f>IF('Engagement Log'!O382="","",'Engagement Log'!O382)</f>
        <v/>
      </c>
      <c r="B377" s="69" t="str">
        <f ca="1">IF('Engagement Log'!O382="","",'Engagement Log'!O382-TODAY())</f>
        <v/>
      </c>
      <c r="C377" s="70" t="str">
        <f>IF('Engagement Log'!B382="","",'Engagement Log'!B382)</f>
        <v/>
      </c>
      <c r="D377" s="70" t="str">
        <f>IF('Engagement Log'!D382="","",'Engagement Log'!D382)</f>
        <v/>
      </c>
      <c r="E377" s="70" t="str">
        <f>IF('Engagement Log'!G382="","",'Engagement Log'!G382)</f>
        <v/>
      </c>
      <c r="F377" s="70" t="str">
        <f>IF('Engagement Log'!N382="","",'Engagement Log'!N382)</f>
        <v/>
      </c>
      <c r="G377" s="70" t="str">
        <f>IF('Engagement Log'!C382="","",'Engagement Log'!C382)</f>
        <v/>
      </c>
      <c r="H377" s="71" t="str">
        <f>IF('Engagement Log'!P382="","",'Engagement Log'!P382)</f>
        <v/>
      </c>
      <c r="I377" s="71" t="str">
        <f>IF('Engagement Log'!Q382="","",'Engagement Log'!Q382)</f>
        <v/>
      </c>
      <c r="J377" s="72" t="str">
        <f>IF('Engagement Log'!L382="","",'Engagement Log'!L382)</f>
        <v/>
      </c>
    </row>
    <row r="378" spans="1:10" x14ac:dyDescent="0.3">
      <c r="A378" s="73" t="str">
        <f>IF('Engagement Log'!O383="","",'Engagement Log'!O383)</f>
        <v/>
      </c>
      <c r="B378" s="74" t="str">
        <f ca="1">IF('Engagement Log'!O383="","",'Engagement Log'!O383-TODAY())</f>
        <v/>
      </c>
      <c r="C378" s="75" t="str">
        <f>IF('Engagement Log'!B383="","",'Engagement Log'!B383)</f>
        <v/>
      </c>
      <c r="D378" s="75" t="str">
        <f>IF('Engagement Log'!D383="","",'Engagement Log'!D383)</f>
        <v/>
      </c>
      <c r="E378" s="75" t="str">
        <f>IF('Engagement Log'!G383="","",'Engagement Log'!G383)</f>
        <v/>
      </c>
      <c r="F378" s="75" t="str">
        <f>IF('Engagement Log'!N383="","",'Engagement Log'!N383)</f>
        <v/>
      </c>
      <c r="G378" s="75" t="str">
        <f>IF('Engagement Log'!C383="","",'Engagement Log'!C383)</f>
        <v/>
      </c>
      <c r="H378" s="76" t="str">
        <f>IF('Engagement Log'!P383="","",'Engagement Log'!P383)</f>
        <v/>
      </c>
      <c r="I378" s="76" t="str">
        <f>IF('Engagement Log'!Q383="","",'Engagement Log'!Q383)</f>
        <v/>
      </c>
      <c r="J378" s="77" t="str">
        <f>IF('Engagement Log'!L383="","",'Engagement Log'!L383)</f>
        <v/>
      </c>
    </row>
    <row r="379" spans="1:10" x14ac:dyDescent="0.3">
      <c r="A379" s="68" t="str">
        <f>IF('Engagement Log'!O384="","",'Engagement Log'!O384)</f>
        <v/>
      </c>
      <c r="B379" s="69" t="str">
        <f ca="1">IF('Engagement Log'!O384="","",'Engagement Log'!O384-TODAY())</f>
        <v/>
      </c>
      <c r="C379" s="70" t="str">
        <f>IF('Engagement Log'!B384="","",'Engagement Log'!B384)</f>
        <v/>
      </c>
      <c r="D379" s="70" t="str">
        <f>IF('Engagement Log'!D384="","",'Engagement Log'!D384)</f>
        <v/>
      </c>
      <c r="E379" s="70" t="str">
        <f>IF('Engagement Log'!G384="","",'Engagement Log'!G384)</f>
        <v/>
      </c>
      <c r="F379" s="70" t="str">
        <f>IF('Engagement Log'!N384="","",'Engagement Log'!N384)</f>
        <v/>
      </c>
      <c r="G379" s="70" t="str">
        <f>IF('Engagement Log'!C384="","",'Engagement Log'!C384)</f>
        <v/>
      </c>
      <c r="H379" s="71" t="str">
        <f>IF('Engagement Log'!P384="","",'Engagement Log'!P384)</f>
        <v/>
      </c>
      <c r="I379" s="71" t="str">
        <f>IF('Engagement Log'!Q384="","",'Engagement Log'!Q384)</f>
        <v/>
      </c>
      <c r="J379" s="72" t="str">
        <f>IF('Engagement Log'!L384="","",'Engagement Log'!L384)</f>
        <v/>
      </c>
    </row>
    <row r="380" spans="1:10" x14ac:dyDescent="0.3">
      <c r="A380" s="73" t="str">
        <f>IF('Engagement Log'!O385="","",'Engagement Log'!O385)</f>
        <v/>
      </c>
      <c r="B380" s="74" t="str">
        <f ca="1">IF('Engagement Log'!O385="","",'Engagement Log'!O385-TODAY())</f>
        <v/>
      </c>
      <c r="C380" s="75" t="str">
        <f>IF('Engagement Log'!B385="","",'Engagement Log'!B385)</f>
        <v/>
      </c>
      <c r="D380" s="75" t="str">
        <f>IF('Engagement Log'!D385="","",'Engagement Log'!D385)</f>
        <v/>
      </c>
      <c r="E380" s="75" t="str">
        <f>IF('Engagement Log'!G385="","",'Engagement Log'!G385)</f>
        <v/>
      </c>
      <c r="F380" s="75" t="str">
        <f>IF('Engagement Log'!N385="","",'Engagement Log'!N385)</f>
        <v/>
      </c>
      <c r="G380" s="75" t="str">
        <f>IF('Engagement Log'!C385="","",'Engagement Log'!C385)</f>
        <v/>
      </c>
      <c r="H380" s="76" t="str">
        <f>IF('Engagement Log'!P385="","",'Engagement Log'!P385)</f>
        <v/>
      </c>
      <c r="I380" s="76" t="str">
        <f>IF('Engagement Log'!Q385="","",'Engagement Log'!Q385)</f>
        <v/>
      </c>
      <c r="J380" s="77" t="str">
        <f>IF('Engagement Log'!L385="","",'Engagement Log'!L385)</f>
        <v/>
      </c>
    </row>
    <row r="381" spans="1:10" x14ac:dyDescent="0.3">
      <c r="A381" s="68" t="str">
        <f>IF('Engagement Log'!O386="","",'Engagement Log'!O386)</f>
        <v/>
      </c>
      <c r="B381" s="69" t="str">
        <f ca="1">IF('Engagement Log'!O386="","",'Engagement Log'!O386-TODAY())</f>
        <v/>
      </c>
      <c r="C381" s="70" t="str">
        <f>IF('Engagement Log'!B386="","",'Engagement Log'!B386)</f>
        <v/>
      </c>
      <c r="D381" s="70" t="str">
        <f>IF('Engagement Log'!D386="","",'Engagement Log'!D386)</f>
        <v/>
      </c>
      <c r="E381" s="70" t="str">
        <f>IF('Engagement Log'!G386="","",'Engagement Log'!G386)</f>
        <v/>
      </c>
      <c r="F381" s="70" t="str">
        <f>IF('Engagement Log'!N386="","",'Engagement Log'!N386)</f>
        <v/>
      </c>
      <c r="G381" s="70" t="str">
        <f>IF('Engagement Log'!C386="","",'Engagement Log'!C386)</f>
        <v/>
      </c>
      <c r="H381" s="71" t="str">
        <f>IF('Engagement Log'!P386="","",'Engagement Log'!P386)</f>
        <v/>
      </c>
      <c r="I381" s="71" t="str">
        <f>IF('Engagement Log'!Q386="","",'Engagement Log'!Q386)</f>
        <v/>
      </c>
      <c r="J381" s="72" t="str">
        <f>IF('Engagement Log'!L386="","",'Engagement Log'!L386)</f>
        <v/>
      </c>
    </row>
    <row r="382" spans="1:10" x14ac:dyDescent="0.3">
      <c r="A382" s="73" t="str">
        <f>IF('Engagement Log'!O387="","",'Engagement Log'!O387)</f>
        <v/>
      </c>
      <c r="B382" s="74" t="str">
        <f ca="1">IF('Engagement Log'!O387="","",'Engagement Log'!O387-TODAY())</f>
        <v/>
      </c>
      <c r="C382" s="75" t="str">
        <f>IF('Engagement Log'!B387="","",'Engagement Log'!B387)</f>
        <v/>
      </c>
      <c r="D382" s="75" t="str">
        <f>IF('Engagement Log'!D387="","",'Engagement Log'!D387)</f>
        <v/>
      </c>
      <c r="E382" s="75" t="str">
        <f>IF('Engagement Log'!G387="","",'Engagement Log'!G387)</f>
        <v/>
      </c>
      <c r="F382" s="75" t="str">
        <f>IF('Engagement Log'!N387="","",'Engagement Log'!N387)</f>
        <v/>
      </c>
      <c r="G382" s="75" t="str">
        <f>IF('Engagement Log'!C387="","",'Engagement Log'!C387)</f>
        <v/>
      </c>
      <c r="H382" s="76" t="str">
        <f>IF('Engagement Log'!P387="","",'Engagement Log'!P387)</f>
        <v/>
      </c>
      <c r="I382" s="76" t="str">
        <f>IF('Engagement Log'!Q387="","",'Engagement Log'!Q387)</f>
        <v/>
      </c>
      <c r="J382" s="77" t="str">
        <f>IF('Engagement Log'!L387="","",'Engagement Log'!L387)</f>
        <v/>
      </c>
    </row>
    <row r="383" spans="1:10" x14ac:dyDescent="0.3">
      <c r="A383" s="68" t="str">
        <f>IF('Engagement Log'!O388="","",'Engagement Log'!O388)</f>
        <v/>
      </c>
      <c r="B383" s="69" t="str">
        <f ca="1">IF('Engagement Log'!O388="","",'Engagement Log'!O388-TODAY())</f>
        <v/>
      </c>
      <c r="C383" s="70" t="str">
        <f>IF('Engagement Log'!B388="","",'Engagement Log'!B388)</f>
        <v/>
      </c>
      <c r="D383" s="70" t="str">
        <f>IF('Engagement Log'!D388="","",'Engagement Log'!D388)</f>
        <v/>
      </c>
      <c r="E383" s="70" t="str">
        <f>IF('Engagement Log'!G388="","",'Engagement Log'!G388)</f>
        <v/>
      </c>
      <c r="F383" s="70" t="str">
        <f>IF('Engagement Log'!N388="","",'Engagement Log'!N388)</f>
        <v/>
      </c>
      <c r="G383" s="70" t="str">
        <f>IF('Engagement Log'!C388="","",'Engagement Log'!C388)</f>
        <v/>
      </c>
      <c r="H383" s="71" t="str">
        <f>IF('Engagement Log'!P388="","",'Engagement Log'!P388)</f>
        <v/>
      </c>
      <c r="I383" s="71" t="str">
        <f>IF('Engagement Log'!Q388="","",'Engagement Log'!Q388)</f>
        <v/>
      </c>
      <c r="J383" s="72" t="str">
        <f>IF('Engagement Log'!L388="","",'Engagement Log'!L388)</f>
        <v/>
      </c>
    </row>
    <row r="384" spans="1:10" x14ac:dyDescent="0.3">
      <c r="A384" s="73" t="str">
        <f>IF('Engagement Log'!O389="","",'Engagement Log'!O389)</f>
        <v/>
      </c>
      <c r="B384" s="74" t="str">
        <f ca="1">IF('Engagement Log'!O389="","",'Engagement Log'!O389-TODAY())</f>
        <v/>
      </c>
      <c r="C384" s="75" t="str">
        <f>IF('Engagement Log'!B389="","",'Engagement Log'!B389)</f>
        <v/>
      </c>
      <c r="D384" s="75" t="str">
        <f>IF('Engagement Log'!D389="","",'Engagement Log'!D389)</f>
        <v/>
      </c>
      <c r="E384" s="75" t="str">
        <f>IF('Engagement Log'!G389="","",'Engagement Log'!G389)</f>
        <v/>
      </c>
      <c r="F384" s="75" t="str">
        <f>IF('Engagement Log'!N389="","",'Engagement Log'!N389)</f>
        <v/>
      </c>
      <c r="G384" s="75" t="str">
        <f>IF('Engagement Log'!C389="","",'Engagement Log'!C389)</f>
        <v/>
      </c>
      <c r="H384" s="76" t="str">
        <f>IF('Engagement Log'!P389="","",'Engagement Log'!P389)</f>
        <v/>
      </c>
      <c r="I384" s="76" t="str">
        <f>IF('Engagement Log'!Q389="","",'Engagement Log'!Q389)</f>
        <v/>
      </c>
      <c r="J384" s="77" t="str">
        <f>IF('Engagement Log'!L389="","",'Engagement Log'!L389)</f>
        <v/>
      </c>
    </row>
    <row r="385" spans="1:10" x14ac:dyDescent="0.3">
      <c r="A385" s="68" t="str">
        <f>IF('Engagement Log'!O390="","",'Engagement Log'!O390)</f>
        <v/>
      </c>
      <c r="B385" s="69" t="str">
        <f ca="1">IF('Engagement Log'!O390="","",'Engagement Log'!O390-TODAY())</f>
        <v/>
      </c>
      <c r="C385" s="70" t="str">
        <f>IF('Engagement Log'!B390="","",'Engagement Log'!B390)</f>
        <v/>
      </c>
      <c r="D385" s="70" t="str">
        <f>IF('Engagement Log'!D390="","",'Engagement Log'!D390)</f>
        <v/>
      </c>
      <c r="E385" s="70" t="str">
        <f>IF('Engagement Log'!G390="","",'Engagement Log'!G390)</f>
        <v/>
      </c>
      <c r="F385" s="70" t="str">
        <f>IF('Engagement Log'!N390="","",'Engagement Log'!N390)</f>
        <v/>
      </c>
      <c r="G385" s="70" t="str">
        <f>IF('Engagement Log'!C390="","",'Engagement Log'!C390)</f>
        <v/>
      </c>
      <c r="H385" s="71" t="str">
        <f>IF('Engagement Log'!P390="","",'Engagement Log'!P390)</f>
        <v/>
      </c>
      <c r="I385" s="71" t="str">
        <f>IF('Engagement Log'!Q390="","",'Engagement Log'!Q390)</f>
        <v/>
      </c>
      <c r="J385" s="72" t="str">
        <f>IF('Engagement Log'!L390="","",'Engagement Log'!L390)</f>
        <v/>
      </c>
    </row>
    <row r="386" spans="1:10" x14ac:dyDescent="0.3">
      <c r="A386" s="73" t="str">
        <f>IF('Engagement Log'!O391="","",'Engagement Log'!O391)</f>
        <v/>
      </c>
      <c r="B386" s="74" t="str">
        <f ca="1">IF('Engagement Log'!O391="","",'Engagement Log'!O391-TODAY())</f>
        <v/>
      </c>
      <c r="C386" s="75" t="str">
        <f>IF('Engagement Log'!B391="","",'Engagement Log'!B391)</f>
        <v/>
      </c>
      <c r="D386" s="75" t="str">
        <f>IF('Engagement Log'!D391="","",'Engagement Log'!D391)</f>
        <v/>
      </c>
      <c r="E386" s="75" t="str">
        <f>IF('Engagement Log'!G391="","",'Engagement Log'!G391)</f>
        <v/>
      </c>
      <c r="F386" s="75" t="str">
        <f>IF('Engagement Log'!N391="","",'Engagement Log'!N391)</f>
        <v/>
      </c>
      <c r="G386" s="75" t="str">
        <f>IF('Engagement Log'!C391="","",'Engagement Log'!C391)</f>
        <v/>
      </c>
      <c r="H386" s="76" t="str">
        <f>IF('Engagement Log'!P391="","",'Engagement Log'!P391)</f>
        <v/>
      </c>
      <c r="I386" s="76" t="str">
        <f>IF('Engagement Log'!Q391="","",'Engagement Log'!Q391)</f>
        <v/>
      </c>
      <c r="J386" s="77" t="str">
        <f>IF('Engagement Log'!L391="","",'Engagement Log'!L391)</f>
        <v/>
      </c>
    </row>
    <row r="387" spans="1:10" x14ac:dyDescent="0.3">
      <c r="A387" s="68" t="str">
        <f>IF('Engagement Log'!O392="","",'Engagement Log'!O392)</f>
        <v/>
      </c>
      <c r="B387" s="69" t="str">
        <f ca="1">IF('Engagement Log'!O392="","",'Engagement Log'!O392-TODAY())</f>
        <v/>
      </c>
      <c r="C387" s="70" t="str">
        <f>IF('Engagement Log'!B392="","",'Engagement Log'!B392)</f>
        <v/>
      </c>
      <c r="D387" s="70" t="str">
        <f>IF('Engagement Log'!D392="","",'Engagement Log'!D392)</f>
        <v/>
      </c>
      <c r="E387" s="70" t="str">
        <f>IF('Engagement Log'!G392="","",'Engagement Log'!G392)</f>
        <v/>
      </c>
      <c r="F387" s="70" t="str">
        <f>IF('Engagement Log'!N392="","",'Engagement Log'!N392)</f>
        <v/>
      </c>
      <c r="G387" s="70" t="str">
        <f>IF('Engagement Log'!C392="","",'Engagement Log'!C392)</f>
        <v/>
      </c>
      <c r="H387" s="71" t="str">
        <f>IF('Engagement Log'!P392="","",'Engagement Log'!P392)</f>
        <v/>
      </c>
      <c r="I387" s="71" t="str">
        <f>IF('Engagement Log'!Q392="","",'Engagement Log'!Q392)</f>
        <v/>
      </c>
      <c r="J387" s="72" t="str">
        <f>IF('Engagement Log'!L392="","",'Engagement Log'!L392)</f>
        <v/>
      </c>
    </row>
    <row r="388" spans="1:10" x14ac:dyDescent="0.3">
      <c r="A388" s="73" t="str">
        <f>IF('Engagement Log'!O393="","",'Engagement Log'!O393)</f>
        <v/>
      </c>
      <c r="B388" s="74" t="str">
        <f ca="1">IF('Engagement Log'!O393="","",'Engagement Log'!O393-TODAY())</f>
        <v/>
      </c>
      <c r="C388" s="75" t="str">
        <f>IF('Engagement Log'!B393="","",'Engagement Log'!B393)</f>
        <v/>
      </c>
      <c r="D388" s="75" t="str">
        <f>IF('Engagement Log'!D393="","",'Engagement Log'!D393)</f>
        <v/>
      </c>
      <c r="E388" s="75" t="str">
        <f>IF('Engagement Log'!G393="","",'Engagement Log'!G393)</f>
        <v/>
      </c>
      <c r="F388" s="75" t="str">
        <f>IF('Engagement Log'!N393="","",'Engagement Log'!N393)</f>
        <v/>
      </c>
      <c r="G388" s="75" t="str">
        <f>IF('Engagement Log'!C393="","",'Engagement Log'!C393)</f>
        <v/>
      </c>
      <c r="H388" s="76" t="str">
        <f>IF('Engagement Log'!P393="","",'Engagement Log'!P393)</f>
        <v/>
      </c>
      <c r="I388" s="76" t="str">
        <f>IF('Engagement Log'!Q393="","",'Engagement Log'!Q393)</f>
        <v/>
      </c>
      <c r="J388" s="77" t="str">
        <f>IF('Engagement Log'!L393="","",'Engagement Log'!L393)</f>
        <v/>
      </c>
    </row>
    <row r="389" spans="1:10" x14ac:dyDescent="0.3">
      <c r="A389" s="68" t="str">
        <f>IF('Engagement Log'!O394="","",'Engagement Log'!O394)</f>
        <v/>
      </c>
      <c r="B389" s="69" t="str">
        <f ca="1">IF('Engagement Log'!O394="","",'Engagement Log'!O394-TODAY())</f>
        <v/>
      </c>
      <c r="C389" s="70" t="str">
        <f>IF('Engagement Log'!B394="","",'Engagement Log'!B394)</f>
        <v/>
      </c>
      <c r="D389" s="70" t="str">
        <f>IF('Engagement Log'!D394="","",'Engagement Log'!D394)</f>
        <v/>
      </c>
      <c r="E389" s="70" t="str">
        <f>IF('Engagement Log'!G394="","",'Engagement Log'!G394)</f>
        <v/>
      </c>
      <c r="F389" s="70" t="str">
        <f>IF('Engagement Log'!N394="","",'Engagement Log'!N394)</f>
        <v/>
      </c>
      <c r="G389" s="70" t="str">
        <f>IF('Engagement Log'!C394="","",'Engagement Log'!C394)</f>
        <v/>
      </c>
      <c r="H389" s="71" t="str">
        <f>IF('Engagement Log'!P394="","",'Engagement Log'!P394)</f>
        <v/>
      </c>
      <c r="I389" s="71" t="str">
        <f>IF('Engagement Log'!Q394="","",'Engagement Log'!Q394)</f>
        <v/>
      </c>
      <c r="J389" s="72" t="str">
        <f>IF('Engagement Log'!L394="","",'Engagement Log'!L394)</f>
        <v/>
      </c>
    </row>
    <row r="390" spans="1:10" x14ac:dyDescent="0.3">
      <c r="A390" s="73" t="str">
        <f>IF('Engagement Log'!O395="","",'Engagement Log'!O395)</f>
        <v/>
      </c>
      <c r="B390" s="74" t="str">
        <f ca="1">IF('Engagement Log'!O395="","",'Engagement Log'!O395-TODAY())</f>
        <v/>
      </c>
      <c r="C390" s="75" t="str">
        <f>IF('Engagement Log'!B395="","",'Engagement Log'!B395)</f>
        <v/>
      </c>
      <c r="D390" s="75" t="str">
        <f>IF('Engagement Log'!D395="","",'Engagement Log'!D395)</f>
        <v/>
      </c>
      <c r="E390" s="75" t="str">
        <f>IF('Engagement Log'!G395="","",'Engagement Log'!G395)</f>
        <v/>
      </c>
      <c r="F390" s="75" t="str">
        <f>IF('Engagement Log'!N395="","",'Engagement Log'!N395)</f>
        <v/>
      </c>
      <c r="G390" s="75" t="str">
        <f>IF('Engagement Log'!C395="","",'Engagement Log'!C395)</f>
        <v/>
      </c>
      <c r="H390" s="76" t="str">
        <f>IF('Engagement Log'!P395="","",'Engagement Log'!P395)</f>
        <v/>
      </c>
      <c r="I390" s="76" t="str">
        <f>IF('Engagement Log'!Q395="","",'Engagement Log'!Q395)</f>
        <v/>
      </c>
      <c r="J390" s="77" t="str">
        <f>IF('Engagement Log'!L395="","",'Engagement Log'!L395)</f>
        <v/>
      </c>
    </row>
    <row r="391" spans="1:10" x14ac:dyDescent="0.3">
      <c r="A391" s="68" t="str">
        <f>IF('Engagement Log'!O396="","",'Engagement Log'!O396)</f>
        <v/>
      </c>
      <c r="B391" s="69" t="str">
        <f ca="1">IF('Engagement Log'!O396="","",'Engagement Log'!O396-TODAY())</f>
        <v/>
      </c>
      <c r="C391" s="70" t="str">
        <f>IF('Engagement Log'!B396="","",'Engagement Log'!B396)</f>
        <v/>
      </c>
      <c r="D391" s="70" t="str">
        <f>IF('Engagement Log'!D396="","",'Engagement Log'!D396)</f>
        <v/>
      </c>
      <c r="E391" s="70" t="str">
        <f>IF('Engagement Log'!G396="","",'Engagement Log'!G396)</f>
        <v/>
      </c>
      <c r="F391" s="70" t="str">
        <f>IF('Engagement Log'!N396="","",'Engagement Log'!N396)</f>
        <v/>
      </c>
      <c r="G391" s="70" t="str">
        <f>IF('Engagement Log'!C396="","",'Engagement Log'!C396)</f>
        <v/>
      </c>
      <c r="H391" s="71" t="str">
        <f>IF('Engagement Log'!P396="","",'Engagement Log'!P396)</f>
        <v/>
      </c>
      <c r="I391" s="71" t="str">
        <f>IF('Engagement Log'!Q396="","",'Engagement Log'!Q396)</f>
        <v/>
      </c>
      <c r="J391" s="72" t="str">
        <f>IF('Engagement Log'!L396="","",'Engagement Log'!L396)</f>
        <v/>
      </c>
    </row>
    <row r="392" spans="1:10" x14ac:dyDescent="0.3">
      <c r="A392" s="73" t="str">
        <f>IF('Engagement Log'!O397="","",'Engagement Log'!O397)</f>
        <v/>
      </c>
      <c r="B392" s="74" t="str">
        <f ca="1">IF('Engagement Log'!O397="","",'Engagement Log'!O397-TODAY())</f>
        <v/>
      </c>
      <c r="C392" s="75" t="str">
        <f>IF('Engagement Log'!B397="","",'Engagement Log'!B397)</f>
        <v/>
      </c>
      <c r="D392" s="75" t="str">
        <f>IF('Engagement Log'!D397="","",'Engagement Log'!D397)</f>
        <v/>
      </c>
      <c r="E392" s="75" t="str">
        <f>IF('Engagement Log'!G397="","",'Engagement Log'!G397)</f>
        <v/>
      </c>
      <c r="F392" s="75" t="str">
        <f>IF('Engagement Log'!N397="","",'Engagement Log'!N397)</f>
        <v/>
      </c>
      <c r="G392" s="75" t="str">
        <f>IF('Engagement Log'!C397="","",'Engagement Log'!C397)</f>
        <v/>
      </c>
      <c r="H392" s="76" t="str">
        <f>IF('Engagement Log'!P397="","",'Engagement Log'!P397)</f>
        <v/>
      </c>
      <c r="I392" s="76" t="str">
        <f>IF('Engagement Log'!Q397="","",'Engagement Log'!Q397)</f>
        <v/>
      </c>
      <c r="J392" s="77" t="str">
        <f>IF('Engagement Log'!L397="","",'Engagement Log'!L397)</f>
        <v/>
      </c>
    </row>
    <row r="393" spans="1:10" x14ac:dyDescent="0.3">
      <c r="A393" s="68" t="str">
        <f>IF('Engagement Log'!O398="","",'Engagement Log'!O398)</f>
        <v/>
      </c>
      <c r="B393" s="69" t="str">
        <f ca="1">IF('Engagement Log'!O398="","",'Engagement Log'!O398-TODAY())</f>
        <v/>
      </c>
      <c r="C393" s="70" t="str">
        <f>IF('Engagement Log'!B398="","",'Engagement Log'!B398)</f>
        <v/>
      </c>
      <c r="D393" s="70" t="str">
        <f>IF('Engagement Log'!D398="","",'Engagement Log'!D398)</f>
        <v/>
      </c>
      <c r="E393" s="70" t="str">
        <f>IF('Engagement Log'!G398="","",'Engagement Log'!G398)</f>
        <v/>
      </c>
      <c r="F393" s="70" t="str">
        <f>IF('Engagement Log'!N398="","",'Engagement Log'!N398)</f>
        <v/>
      </c>
      <c r="G393" s="70" t="str">
        <f>IF('Engagement Log'!C398="","",'Engagement Log'!C398)</f>
        <v/>
      </c>
      <c r="H393" s="71" t="str">
        <f>IF('Engagement Log'!P398="","",'Engagement Log'!P398)</f>
        <v/>
      </c>
      <c r="I393" s="71" t="str">
        <f>IF('Engagement Log'!Q398="","",'Engagement Log'!Q398)</f>
        <v/>
      </c>
      <c r="J393" s="72" t="str">
        <f>IF('Engagement Log'!L398="","",'Engagement Log'!L398)</f>
        <v/>
      </c>
    </row>
    <row r="394" spans="1:10" x14ac:dyDescent="0.3">
      <c r="A394" s="73" t="str">
        <f>IF('Engagement Log'!O399="","",'Engagement Log'!O399)</f>
        <v/>
      </c>
      <c r="B394" s="74" t="str">
        <f ca="1">IF('Engagement Log'!O399="","",'Engagement Log'!O399-TODAY())</f>
        <v/>
      </c>
      <c r="C394" s="75" t="str">
        <f>IF('Engagement Log'!B399="","",'Engagement Log'!B399)</f>
        <v/>
      </c>
      <c r="D394" s="75" t="str">
        <f>IF('Engagement Log'!D399="","",'Engagement Log'!D399)</f>
        <v/>
      </c>
      <c r="E394" s="75" t="str">
        <f>IF('Engagement Log'!G399="","",'Engagement Log'!G399)</f>
        <v/>
      </c>
      <c r="F394" s="75" t="str">
        <f>IF('Engagement Log'!N399="","",'Engagement Log'!N399)</f>
        <v/>
      </c>
      <c r="G394" s="75" t="str">
        <f>IF('Engagement Log'!C399="","",'Engagement Log'!C399)</f>
        <v/>
      </c>
      <c r="H394" s="76" t="str">
        <f>IF('Engagement Log'!P399="","",'Engagement Log'!P399)</f>
        <v/>
      </c>
      <c r="I394" s="76" t="str">
        <f>IF('Engagement Log'!Q399="","",'Engagement Log'!Q399)</f>
        <v/>
      </c>
      <c r="J394" s="77" t="str">
        <f>IF('Engagement Log'!L399="","",'Engagement Log'!L399)</f>
        <v/>
      </c>
    </row>
    <row r="395" spans="1:10" x14ac:dyDescent="0.3">
      <c r="A395" s="68" t="str">
        <f>IF('Engagement Log'!O400="","",'Engagement Log'!O400)</f>
        <v/>
      </c>
      <c r="B395" s="69" t="str">
        <f ca="1">IF('Engagement Log'!O400="","",'Engagement Log'!O400-TODAY())</f>
        <v/>
      </c>
      <c r="C395" s="70" t="str">
        <f>IF('Engagement Log'!B400="","",'Engagement Log'!B400)</f>
        <v/>
      </c>
      <c r="D395" s="70" t="str">
        <f>IF('Engagement Log'!D400="","",'Engagement Log'!D400)</f>
        <v/>
      </c>
      <c r="E395" s="70" t="str">
        <f>IF('Engagement Log'!G400="","",'Engagement Log'!G400)</f>
        <v/>
      </c>
      <c r="F395" s="70" t="str">
        <f>IF('Engagement Log'!N400="","",'Engagement Log'!N400)</f>
        <v/>
      </c>
      <c r="G395" s="70" t="str">
        <f>IF('Engagement Log'!C400="","",'Engagement Log'!C400)</f>
        <v/>
      </c>
      <c r="H395" s="71" t="str">
        <f>IF('Engagement Log'!P400="","",'Engagement Log'!P400)</f>
        <v/>
      </c>
      <c r="I395" s="71" t="str">
        <f>IF('Engagement Log'!Q400="","",'Engagement Log'!Q400)</f>
        <v/>
      </c>
      <c r="J395" s="72" t="str">
        <f>IF('Engagement Log'!L400="","",'Engagement Log'!L400)</f>
        <v/>
      </c>
    </row>
    <row r="396" spans="1:10" x14ac:dyDescent="0.3">
      <c r="A396" s="73" t="str">
        <f>IF('Engagement Log'!O401="","",'Engagement Log'!O401)</f>
        <v/>
      </c>
      <c r="B396" s="74" t="str">
        <f ca="1">IF('Engagement Log'!O401="","",'Engagement Log'!O401-TODAY())</f>
        <v/>
      </c>
      <c r="C396" s="75" t="str">
        <f>IF('Engagement Log'!B401="","",'Engagement Log'!B401)</f>
        <v/>
      </c>
      <c r="D396" s="75" t="str">
        <f>IF('Engagement Log'!D401="","",'Engagement Log'!D401)</f>
        <v/>
      </c>
      <c r="E396" s="75" t="str">
        <f>IF('Engagement Log'!G401="","",'Engagement Log'!G401)</f>
        <v/>
      </c>
      <c r="F396" s="75" t="str">
        <f>IF('Engagement Log'!N401="","",'Engagement Log'!N401)</f>
        <v/>
      </c>
      <c r="G396" s="75" t="str">
        <f>IF('Engagement Log'!C401="","",'Engagement Log'!C401)</f>
        <v/>
      </c>
      <c r="H396" s="76" t="str">
        <f>IF('Engagement Log'!P401="","",'Engagement Log'!P401)</f>
        <v/>
      </c>
      <c r="I396" s="76" t="str">
        <f>IF('Engagement Log'!Q401="","",'Engagement Log'!Q401)</f>
        <v/>
      </c>
      <c r="J396" s="77" t="str">
        <f>IF('Engagement Log'!L401="","",'Engagement Log'!L401)</f>
        <v/>
      </c>
    </row>
    <row r="397" spans="1:10" x14ac:dyDescent="0.3">
      <c r="A397" s="68" t="str">
        <f>IF('Engagement Log'!O402="","",'Engagement Log'!O402)</f>
        <v/>
      </c>
      <c r="B397" s="69" t="str">
        <f ca="1">IF('Engagement Log'!O402="","",'Engagement Log'!O402-TODAY())</f>
        <v/>
      </c>
      <c r="C397" s="70" t="str">
        <f>IF('Engagement Log'!B402="","",'Engagement Log'!B402)</f>
        <v/>
      </c>
      <c r="D397" s="70" t="str">
        <f>IF('Engagement Log'!D402="","",'Engagement Log'!D402)</f>
        <v/>
      </c>
      <c r="E397" s="70" t="str">
        <f>IF('Engagement Log'!G402="","",'Engagement Log'!G402)</f>
        <v/>
      </c>
      <c r="F397" s="70" t="str">
        <f>IF('Engagement Log'!N402="","",'Engagement Log'!N402)</f>
        <v/>
      </c>
      <c r="G397" s="70" t="str">
        <f>IF('Engagement Log'!C402="","",'Engagement Log'!C402)</f>
        <v/>
      </c>
      <c r="H397" s="71" t="str">
        <f>IF('Engagement Log'!P402="","",'Engagement Log'!P402)</f>
        <v/>
      </c>
      <c r="I397" s="71" t="str">
        <f>IF('Engagement Log'!Q402="","",'Engagement Log'!Q402)</f>
        <v/>
      </c>
      <c r="J397" s="72" t="str">
        <f>IF('Engagement Log'!L402="","",'Engagement Log'!L402)</f>
        <v/>
      </c>
    </row>
    <row r="398" spans="1:10" x14ac:dyDescent="0.3">
      <c r="A398" s="73" t="str">
        <f>IF('Engagement Log'!O403="","",'Engagement Log'!O403)</f>
        <v/>
      </c>
      <c r="B398" s="74" t="str">
        <f ca="1">IF('Engagement Log'!O403="","",'Engagement Log'!O403-TODAY())</f>
        <v/>
      </c>
      <c r="C398" s="75" t="str">
        <f>IF('Engagement Log'!B403="","",'Engagement Log'!B403)</f>
        <v/>
      </c>
      <c r="D398" s="75" t="str">
        <f>IF('Engagement Log'!D403="","",'Engagement Log'!D403)</f>
        <v/>
      </c>
      <c r="E398" s="75" t="str">
        <f>IF('Engagement Log'!G403="","",'Engagement Log'!G403)</f>
        <v/>
      </c>
      <c r="F398" s="75" t="str">
        <f>IF('Engagement Log'!N403="","",'Engagement Log'!N403)</f>
        <v/>
      </c>
      <c r="G398" s="75" t="str">
        <f>IF('Engagement Log'!C403="","",'Engagement Log'!C403)</f>
        <v/>
      </c>
      <c r="H398" s="76" t="str">
        <f>IF('Engagement Log'!P403="","",'Engagement Log'!P403)</f>
        <v/>
      </c>
      <c r="I398" s="76" t="str">
        <f>IF('Engagement Log'!Q403="","",'Engagement Log'!Q403)</f>
        <v/>
      </c>
      <c r="J398" s="77" t="str">
        <f>IF('Engagement Log'!L403="","",'Engagement Log'!L403)</f>
        <v/>
      </c>
    </row>
    <row r="399" spans="1:10" x14ac:dyDescent="0.3">
      <c r="A399" s="68" t="str">
        <f>IF('Engagement Log'!O404="","",'Engagement Log'!O404)</f>
        <v/>
      </c>
      <c r="B399" s="69" t="str">
        <f ca="1">IF('Engagement Log'!O404="","",'Engagement Log'!O404-TODAY())</f>
        <v/>
      </c>
      <c r="C399" s="70" t="str">
        <f>IF('Engagement Log'!B404="","",'Engagement Log'!B404)</f>
        <v/>
      </c>
      <c r="D399" s="70" t="str">
        <f>IF('Engagement Log'!D404="","",'Engagement Log'!D404)</f>
        <v/>
      </c>
      <c r="E399" s="70" t="str">
        <f>IF('Engagement Log'!G404="","",'Engagement Log'!G404)</f>
        <v/>
      </c>
      <c r="F399" s="70" t="str">
        <f>IF('Engagement Log'!N404="","",'Engagement Log'!N404)</f>
        <v/>
      </c>
      <c r="G399" s="70" t="str">
        <f>IF('Engagement Log'!C404="","",'Engagement Log'!C404)</f>
        <v/>
      </c>
      <c r="H399" s="71" t="str">
        <f>IF('Engagement Log'!P404="","",'Engagement Log'!P404)</f>
        <v/>
      </c>
      <c r="I399" s="71" t="str">
        <f>IF('Engagement Log'!Q404="","",'Engagement Log'!Q404)</f>
        <v/>
      </c>
      <c r="J399" s="72" t="str">
        <f>IF('Engagement Log'!L404="","",'Engagement Log'!L404)</f>
        <v/>
      </c>
    </row>
    <row r="400" spans="1:10" x14ac:dyDescent="0.3">
      <c r="A400" s="73" t="str">
        <f>IF('Engagement Log'!O405="","",'Engagement Log'!O405)</f>
        <v/>
      </c>
      <c r="B400" s="74" t="str">
        <f ca="1">IF('Engagement Log'!O405="","",'Engagement Log'!O405-TODAY())</f>
        <v/>
      </c>
      <c r="C400" s="75" t="str">
        <f>IF('Engagement Log'!B405="","",'Engagement Log'!B405)</f>
        <v/>
      </c>
      <c r="D400" s="75" t="str">
        <f>IF('Engagement Log'!D405="","",'Engagement Log'!D405)</f>
        <v/>
      </c>
      <c r="E400" s="75" t="str">
        <f>IF('Engagement Log'!G405="","",'Engagement Log'!G405)</f>
        <v/>
      </c>
      <c r="F400" s="75" t="str">
        <f>IF('Engagement Log'!N405="","",'Engagement Log'!N405)</f>
        <v/>
      </c>
      <c r="G400" s="75" t="str">
        <f>IF('Engagement Log'!C405="","",'Engagement Log'!C405)</f>
        <v/>
      </c>
      <c r="H400" s="76" t="str">
        <f>IF('Engagement Log'!P405="","",'Engagement Log'!P405)</f>
        <v/>
      </c>
      <c r="I400" s="76" t="str">
        <f>IF('Engagement Log'!Q405="","",'Engagement Log'!Q405)</f>
        <v/>
      </c>
      <c r="J400" s="77" t="str">
        <f>IF('Engagement Log'!L405="","",'Engagement Log'!L405)</f>
        <v/>
      </c>
    </row>
    <row r="401" spans="1:10" x14ac:dyDescent="0.3">
      <c r="A401" s="68" t="str">
        <f>IF('Engagement Log'!O406="","",'Engagement Log'!O406)</f>
        <v/>
      </c>
      <c r="B401" s="69" t="str">
        <f ca="1">IF('Engagement Log'!O406="","",'Engagement Log'!O406-TODAY())</f>
        <v/>
      </c>
      <c r="C401" s="70" t="str">
        <f>IF('Engagement Log'!B406="","",'Engagement Log'!B406)</f>
        <v/>
      </c>
      <c r="D401" s="70" t="str">
        <f>IF('Engagement Log'!D406="","",'Engagement Log'!D406)</f>
        <v/>
      </c>
      <c r="E401" s="70" t="str">
        <f>IF('Engagement Log'!G406="","",'Engagement Log'!G406)</f>
        <v/>
      </c>
      <c r="F401" s="70" t="str">
        <f>IF('Engagement Log'!N406="","",'Engagement Log'!N406)</f>
        <v/>
      </c>
      <c r="G401" s="70" t="str">
        <f>IF('Engagement Log'!C406="","",'Engagement Log'!C406)</f>
        <v/>
      </c>
      <c r="H401" s="71" t="str">
        <f>IF('Engagement Log'!P406="","",'Engagement Log'!P406)</f>
        <v/>
      </c>
      <c r="I401" s="71" t="str">
        <f>IF('Engagement Log'!Q406="","",'Engagement Log'!Q406)</f>
        <v/>
      </c>
      <c r="J401" s="72" t="str">
        <f>IF('Engagement Log'!L406="","",'Engagement Log'!L406)</f>
        <v/>
      </c>
    </row>
    <row r="402" spans="1:10" x14ac:dyDescent="0.3">
      <c r="A402" s="73" t="str">
        <f>IF('Engagement Log'!O407="","",'Engagement Log'!O407)</f>
        <v/>
      </c>
      <c r="B402" s="74" t="str">
        <f ca="1">IF('Engagement Log'!O407="","",'Engagement Log'!O407-TODAY())</f>
        <v/>
      </c>
      <c r="C402" s="75" t="str">
        <f>IF('Engagement Log'!B407="","",'Engagement Log'!B407)</f>
        <v/>
      </c>
      <c r="D402" s="75" t="str">
        <f>IF('Engagement Log'!D407="","",'Engagement Log'!D407)</f>
        <v/>
      </c>
      <c r="E402" s="75" t="str">
        <f>IF('Engagement Log'!G407="","",'Engagement Log'!G407)</f>
        <v/>
      </c>
      <c r="F402" s="75" t="str">
        <f>IF('Engagement Log'!N407="","",'Engagement Log'!N407)</f>
        <v/>
      </c>
      <c r="G402" s="75" t="str">
        <f>IF('Engagement Log'!C407="","",'Engagement Log'!C407)</f>
        <v/>
      </c>
      <c r="H402" s="76" t="str">
        <f>IF('Engagement Log'!P407="","",'Engagement Log'!P407)</f>
        <v/>
      </c>
      <c r="I402" s="76" t="str">
        <f>IF('Engagement Log'!Q407="","",'Engagement Log'!Q407)</f>
        <v/>
      </c>
      <c r="J402" s="77" t="str">
        <f>IF('Engagement Log'!L407="","",'Engagement Log'!L407)</f>
        <v/>
      </c>
    </row>
    <row r="403" spans="1:10" x14ac:dyDescent="0.3">
      <c r="A403" s="68" t="str">
        <f>IF('Engagement Log'!O408="","",'Engagement Log'!O408)</f>
        <v/>
      </c>
      <c r="B403" s="69" t="str">
        <f ca="1">IF('Engagement Log'!O408="","",'Engagement Log'!O408-TODAY())</f>
        <v/>
      </c>
      <c r="C403" s="70" t="str">
        <f>IF('Engagement Log'!B408="","",'Engagement Log'!B408)</f>
        <v/>
      </c>
      <c r="D403" s="70" t="str">
        <f>IF('Engagement Log'!D408="","",'Engagement Log'!D408)</f>
        <v/>
      </c>
      <c r="E403" s="70" t="str">
        <f>IF('Engagement Log'!G408="","",'Engagement Log'!G408)</f>
        <v/>
      </c>
      <c r="F403" s="70" t="str">
        <f>IF('Engagement Log'!N408="","",'Engagement Log'!N408)</f>
        <v/>
      </c>
      <c r="G403" s="70" t="str">
        <f>IF('Engagement Log'!C408="","",'Engagement Log'!C408)</f>
        <v/>
      </c>
      <c r="H403" s="71" t="str">
        <f>IF('Engagement Log'!P408="","",'Engagement Log'!P408)</f>
        <v/>
      </c>
      <c r="I403" s="71" t="str">
        <f>IF('Engagement Log'!Q408="","",'Engagement Log'!Q408)</f>
        <v/>
      </c>
      <c r="J403" s="72" t="str">
        <f>IF('Engagement Log'!L408="","",'Engagement Log'!L408)</f>
        <v/>
      </c>
    </row>
    <row r="404" spans="1:10" x14ac:dyDescent="0.3">
      <c r="A404" s="73" t="str">
        <f>IF('Engagement Log'!O409="","",'Engagement Log'!O409)</f>
        <v/>
      </c>
      <c r="B404" s="74" t="str">
        <f ca="1">IF('Engagement Log'!O409="","",'Engagement Log'!O409-TODAY())</f>
        <v/>
      </c>
      <c r="C404" s="75" t="str">
        <f>IF('Engagement Log'!B409="","",'Engagement Log'!B409)</f>
        <v/>
      </c>
      <c r="D404" s="75" t="str">
        <f>IF('Engagement Log'!D409="","",'Engagement Log'!D409)</f>
        <v/>
      </c>
      <c r="E404" s="75" t="str">
        <f>IF('Engagement Log'!G409="","",'Engagement Log'!G409)</f>
        <v/>
      </c>
      <c r="F404" s="75" t="str">
        <f>IF('Engagement Log'!N409="","",'Engagement Log'!N409)</f>
        <v/>
      </c>
      <c r="G404" s="75" t="str">
        <f>IF('Engagement Log'!C409="","",'Engagement Log'!C409)</f>
        <v/>
      </c>
      <c r="H404" s="76" t="str">
        <f>IF('Engagement Log'!P409="","",'Engagement Log'!P409)</f>
        <v/>
      </c>
      <c r="I404" s="76" t="str">
        <f>IF('Engagement Log'!Q409="","",'Engagement Log'!Q409)</f>
        <v/>
      </c>
      <c r="J404" s="77" t="str">
        <f>IF('Engagement Log'!L409="","",'Engagement Log'!L409)</f>
        <v/>
      </c>
    </row>
    <row r="405" spans="1:10" x14ac:dyDescent="0.3">
      <c r="A405" s="68" t="str">
        <f>IF('Engagement Log'!O410="","",'Engagement Log'!O410)</f>
        <v/>
      </c>
      <c r="B405" s="69" t="str">
        <f ca="1">IF('Engagement Log'!O410="","",'Engagement Log'!O410-TODAY())</f>
        <v/>
      </c>
      <c r="C405" s="70" t="str">
        <f>IF('Engagement Log'!B410="","",'Engagement Log'!B410)</f>
        <v/>
      </c>
      <c r="D405" s="70" t="str">
        <f>IF('Engagement Log'!D410="","",'Engagement Log'!D410)</f>
        <v/>
      </c>
      <c r="E405" s="70" t="str">
        <f>IF('Engagement Log'!G410="","",'Engagement Log'!G410)</f>
        <v/>
      </c>
      <c r="F405" s="70" t="str">
        <f>IF('Engagement Log'!N410="","",'Engagement Log'!N410)</f>
        <v/>
      </c>
      <c r="G405" s="70" t="str">
        <f>IF('Engagement Log'!C410="","",'Engagement Log'!C410)</f>
        <v/>
      </c>
      <c r="H405" s="71" t="str">
        <f>IF('Engagement Log'!P410="","",'Engagement Log'!P410)</f>
        <v/>
      </c>
      <c r="I405" s="71" t="str">
        <f>IF('Engagement Log'!Q410="","",'Engagement Log'!Q410)</f>
        <v/>
      </c>
      <c r="J405" s="72" t="str">
        <f>IF('Engagement Log'!L410="","",'Engagement Log'!L410)</f>
        <v/>
      </c>
    </row>
    <row r="406" spans="1:10" x14ac:dyDescent="0.3">
      <c r="A406" s="73" t="str">
        <f>IF('Engagement Log'!O411="","",'Engagement Log'!O411)</f>
        <v/>
      </c>
      <c r="B406" s="74" t="str">
        <f ca="1">IF('Engagement Log'!O411="","",'Engagement Log'!O411-TODAY())</f>
        <v/>
      </c>
      <c r="C406" s="75" t="str">
        <f>IF('Engagement Log'!B411="","",'Engagement Log'!B411)</f>
        <v/>
      </c>
      <c r="D406" s="75" t="str">
        <f>IF('Engagement Log'!D411="","",'Engagement Log'!D411)</f>
        <v/>
      </c>
      <c r="E406" s="75" t="str">
        <f>IF('Engagement Log'!G411="","",'Engagement Log'!G411)</f>
        <v/>
      </c>
      <c r="F406" s="75" t="str">
        <f>IF('Engagement Log'!N411="","",'Engagement Log'!N411)</f>
        <v/>
      </c>
      <c r="G406" s="75" t="str">
        <f>IF('Engagement Log'!C411="","",'Engagement Log'!C411)</f>
        <v/>
      </c>
      <c r="H406" s="76" t="str">
        <f>IF('Engagement Log'!P411="","",'Engagement Log'!P411)</f>
        <v/>
      </c>
      <c r="I406" s="76" t="str">
        <f>IF('Engagement Log'!Q411="","",'Engagement Log'!Q411)</f>
        <v/>
      </c>
      <c r="J406" s="77" t="str">
        <f>IF('Engagement Log'!L411="","",'Engagement Log'!L411)</f>
        <v/>
      </c>
    </row>
    <row r="407" spans="1:10" x14ac:dyDescent="0.3">
      <c r="A407" s="68" t="str">
        <f>IF('Engagement Log'!O412="","",'Engagement Log'!O412)</f>
        <v/>
      </c>
      <c r="B407" s="69" t="str">
        <f ca="1">IF('Engagement Log'!O412="","",'Engagement Log'!O412-TODAY())</f>
        <v/>
      </c>
      <c r="C407" s="70" t="str">
        <f>IF('Engagement Log'!B412="","",'Engagement Log'!B412)</f>
        <v/>
      </c>
      <c r="D407" s="70" t="str">
        <f>IF('Engagement Log'!D412="","",'Engagement Log'!D412)</f>
        <v/>
      </c>
      <c r="E407" s="70" t="str">
        <f>IF('Engagement Log'!G412="","",'Engagement Log'!G412)</f>
        <v/>
      </c>
      <c r="F407" s="70" t="str">
        <f>IF('Engagement Log'!N412="","",'Engagement Log'!N412)</f>
        <v/>
      </c>
      <c r="G407" s="70" t="str">
        <f>IF('Engagement Log'!C412="","",'Engagement Log'!C412)</f>
        <v/>
      </c>
      <c r="H407" s="71" t="str">
        <f>IF('Engagement Log'!P412="","",'Engagement Log'!P412)</f>
        <v/>
      </c>
      <c r="I407" s="71" t="str">
        <f>IF('Engagement Log'!Q412="","",'Engagement Log'!Q412)</f>
        <v/>
      </c>
      <c r="J407" s="72" t="str">
        <f>IF('Engagement Log'!L412="","",'Engagement Log'!L412)</f>
        <v/>
      </c>
    </row>
    <row r="408" spans="1:10" x14ac:dyDescent="0.3">
      <c r="A408" s="73" t="str">
        <f>IF('Engagement Log'!O413="","",'Engagement Log'!O413)</f>
        <v/>
      </c>
      <c r="B408" s="74" t="str">
        <f ca="1">IF('Engagement Log'!O413="","",'Engagement Log'!O413-TODAY())</f>
        <v/>
      </c>
      <c r="C408" s="75" t="str">
        <f>IF('Engagement Log'!B413="","",'Engagement Log'!B413)</f>
        <v/>
      </c>
      <c r="D408" s="75" t="str">
        <f>IF('Engagement Log'!D413="","",'Engagement Log'!D413)</f>
        <v/>
      </c>
      <c r="E408" s="75" t="str">
        <f>IF('Engagement Log'!G413="","",'Engagement Log'!G413)</f>
        <v/>
      </c>
      <c r="F408" s="75" t="str">
        <f>IF('Engagement Log'!N413="","",'Engagement Log'!N413)</f>
        <v/>
      </c>
      <c r="G408" s="75" t="str">
        <f>IF('Engagement Log'!C413="","",'Engagement Log'!C413)</f>
        <v/>
      </c>
      <c r="H408" s="76" t="str">
        <f>IF('Engagement Log'!P413="","",'Engagement Log'!P413)</f>
        <v/>
      </c>
      <c r="I408" s="76" t="str">
        <f>IF('Engagement Log'!Q413="","",'Engagement Log'!Q413)</f>
        <v/>
      </c>
      <c r="J408" s="77" t="str">
        <f>IF('Engagement Log'!L413="","",'Engagement Log'!L413)</f>
        <v/>
      </c>
    </row>
    <row r="409" spans="1:10" x14ac:dyDescent="0.3">
      <c r="A409" s="68" t="str">
        <f>IF('Engagement Log'!O414="","",'Engagement Log'!O414)</f>
        <v/>
      </c>
      <c r="B409" s="69" t="str">
        <f ca="1">IF('Engagement Log'!O414="","",'Engagement Log'!O414-TODAY())</f>
        <v/>
      </c>
      <c r="C409" s="70" t="str">
        <f>IF('Engagement Log'!B414="","",'Engagement Log'!B414)</f>
        <v/>
      </c>
      <c r="D409" s="70" t="str">
        <f>IF('Engagement Log'!D414="","",'Engagement Log'!D414)</f>
        <v/>
      </c>
      <c r="E409" s="70" t="str">
        <f>IF('Engagement Log'!G414="","",'Engagement Log'!G414)</f>
        <v/>
      </c>
      <c r="F409" s="70" t="str">
        <f>IF('Engagement Log'!N414="","",'Engagement Log'!N414)</f>
        <v/>
      </c>
      <c r="G409" s="70" t="str">
        <f>IF('Engagement Log'!C414="","",'Engagement Log'!C414)</f>
        <v/>
      </c>
      <c r="H409" s="71" t="str">
        <f>IF('Engagement Log'!P414="","",'Engagement Log'!P414)</f>
        <v/>
      </c>
      <c r="I409" s="71" t="str">
        <f>IF('Engagement Log'!Q414="","",'Engagement Log'!Q414)</f>
        <v/>
      </c>
      <c r="J409" s="72" t="str">
        <f>IF('Engagement Log'!L414="","",'Engagement Log'!L414)</f>
        <v/>
      </c>
    </row>
    <row r="410" spans="1:10" x14ac:dyDescent="0.3">
      <c r="A410" s="73" t="str">
        <f>IF('Engagement Log'!O415="","",'Engagement Log'!O415)</f>
        <v/>
      </c>
      <c r="B410" s="74" t="str">
        <f ca="1">IF('Engagement Log'!O415="","",'Engagement Log'!O415-TODAY())</f>
        <v/>
      </c>
      <c r="C410" s="75" t="str">
        <f>IF('Engagement Log'!B415="","",'Engagement Log'!B415)</f>
        <v/>
      </c>
      <c r="D410" s="75" t="str">
        <f>IF('Engagement Log'!D415="","",'Engagement Log'!D415)</f>
        <v/>
      </c>
      <c r="E410" s="75" t="str">
        <f>IF('Engagement Log'!G415="","",'Engagement Log'!G415)</f>
        <v/>
      </c>
      <c r="F410" s="75" t="str">
        <f>IF('Engagement Log'!N415="","",'Engagement Log'!N415)</f>
        <v/>
      </c>
      <c r="G410" s="75" t="str">
        <f>IF('Engagement Log'!C415="","",'Engagement Log'!C415)</f>
        <v/>
      </c>
      <c r="H410" s="76" t="str">
        <f>IF('Engagement Log'!P415="","",'Engagement Log'!P415)</f>
        <v/>
      </c>
      <c r="I410" s="76" t="str">
        <f>IF('Engagement Log'!Q415="","",'Engagement Log'!Q415)</f>
        <v/>
      </c>
      <c r="J410" s="77" t="str">
        <f>IF('Engagement Log'!L415="","",'Engagement Log'!L415)</f>
        <v/>
      </c>
    </row>
    <row r="411" spans="1:10" x14ac:dyDescent="0.3">
      <c r="A411" s="68" t="str">
        <f>IF('Engagement Log'!O416="","",'Engagement Log'!O416)</f>
        <v/>
      </c>
      <c r="B411" s="69" t="str">
        <f ca="1">IF('Engagement Log'!O416="","",'Engagement Log'!O416-TODAY())</f>
        <v/>
      </c>
      <c r="C411" s="70" t="str">
        <f>IF('Engagement Log'!B416="","",'Engagement Log'!B416)</f>
        <v/>
      </c>
      <c r="D411" s="70" t="str">
        <f>IF('Engagement Log'!D416="","",'Engagement Log'!D416)</f>
        <v/>
      </c>
      <c r="E411" s="70" t="str">
        <f>IF('Engagement Log'!G416="","",'Engagement Log'!G416)</f>
        <v/>
      </c>
      <c r="F411" s="70" t="str">
        <f>IF('Engagement Log'!N416="","",'Engagement Log'!N416)</f>
        <v/>
      </c>
      <c r="G411" s="70" t="str">
        <f>IF('Engagement Log'!C416="","",'Engagement Log'!C416)</f>
        <v/>
      </c>
      <c r="H411" s="71" t="str">
        <f>IF('Engagement Log'!P416="","",'Engagement Log'!P416)</f>
        <v/>
      </c>
      <c r="I411" s="71" t="str">
        <f>IF('Engagement Log'!Q416="","",'Engagement Log'!Q416)</f>
        <v/>
      </c>
      <c r="J411" s="72" t="str">
        <f>IF('Engagement Log'!L416="","",'Engagement Log'!L416)</f>
        <v/>
      </c>
    </row>
    <row r="412" spans="1:10" x14ac:dyDescent="0.3">
      <c r="A412" s="73" t="str">
        <f>IF('Engagement Log'!O417="","",'Engagement Log'!O417)</f>
        <v/>
      </c>
      <c r="B412" s="74" t="str">
        <f ca="1">IF('Engagement Log'!O417="","",'Engagement Log'!O417-TODAY())</f>
        <v/>
      </c>
      <c r="C412" s="75" t="str">
        <f>IF('Engagement Log'!B417="","",'Engagement Log'!B417)</f>
        <v/>
      </c>
      <c r="D412" s="75" t="str">
        <f>IF('Engagement Log'!D417="","",'Engagement Log'!D417)</f>
        <v/>
      </c>
      <c r="E412" s="75" t="str">
        <f>IF('Engagement Log'!G417="","",'Engagement Log'!G417)</f>
        <v/>
      </c>
      <c r="F412" s="75" t="str">
        <f>IF('Engagement Log'!N417="","",'Engagement Log'!N417)</f>
        <v/>
      </c>
      <c r="G412" s="75" t="str">
        <f>IF('Engagement Log'!C417="","",'Engagement Log'!C417)</f>
        <v/>
      </c>
      <c r="H412" s="76" t="str">
        <f>IF('Engagement Log'!P417="","",'Engagement Log'!P417)</f>
        <v/>
      </c>
      <c r="I412" s="76" t="str">
        <f>IF('Engagement Log'!Q417="","",'Engagement Log'!Q417)</f>
        <v/>
      </c>
      <c r="J412" s="77" t="str">
        <f>IF('Engagement Log'!L417="","",'Engagement Log'!L417)</f>
        <v/>
      </c>
    </row>
    <row r="413" spans="1:10" x14ac:dyDescent="0.3">
      <c r="A413" s="68" t="str">
        <f>IF('Engagement Log'!O418="","",'Engagement Log'!O418)</f>
        <v/>
      </c>
      <c r="B413" s="69" t="str">
        <f ca="1">IF('Engagement Log'!O418="","",'Engagement Log'!O418-TODAY())</f>
        <v/>
      </c>
      <c r="C413" s="70" t="str">
        <f>IF('Engagement Log'!B418="","",'Engagement Log'!B418)</f>
        <v/>
      </c>
      <c r="D413" s="70" t="str">
        <f>IF('Engagement Log'!D418="","",'Engagement Log'!D418)</f>
        <v/>
      </c>
      <c r="E413" s="70" t="str">
        <f>IF('Engagement Log'!G418="","",'Engagement Log'!G418)</f>
        <v/>
      </c>
      <c r="F413" s="70" t="str">
        <f>IF('Engagement Log'!N418="","",'Engagement Log'!N418)</f>
        <v/>
      </c>
      <c r="G413" s="70" t="str">
        <f>IF('Engagement Log'!C418="","",'Engagement Log'!C418)</f>
        <v/>
      </c>
      <c r="H413" s="71" t="str">
        <f>IF('Engagement Log'!P418="","",'Engagement Log'!P418)</f>
        <v/>
      </c>
      <c r="I413" s="71" t="str">
        <f>IF('Engagement Log'!Q418="","",'Engagement Log'!Q418)</f>
        <v/>
      </c>
      <c r="J413" s="72" t="str">
        <f>IF('Engagement Log'!L418="","",'Engagement Log'!L418)</f>
        <v/>
      </c>
    </row>
    <row r="414" spans="1:10" x14ac:dyDescent="0.3">
      <c r="A414" s="73" t="str">
        <f>IF('Engagement Log'!O419="","",'Engagement Log'!O419)</f>
        <v/>
      </c>
      <c r="B414" s="74" t="str">
        <f ca="1">IF('Engagement Log'!O419="","",'Engagement Log'!O419-TODAY())</f>
        <v/>
      </c>
      <c r="C414" s="75" t="str">
        <f>IF('Engagement Log'!B419="","",'Engagement Log'!B419)</f>
        <v/>
      </c>
      <c r="D414" s="75" t="str">
        <f>IF('Engagement Log'!D419="","",'Engagement Log'!D419)</f>
        <v/>
      </c>
      <c r="E414" s="75" t="str">
        <f>IF('Engagement Log'!G419="","",'Engagement Log'!G419)</f>
        <v/>
      </c>
      <c r="F414" s="75" t="str">
        <f>IF('Engagement Log'!N419="","",'Engagement Log'!N419)</f>
        <v/>
      </c>
      <c r="G414" s="75" t="str">
        <f>IF('Engagement Log'!C419="","",'Engagement Log'!C419)</f>
        <v/>
      </c>
      <c r="H414" s="76" t="str">
        <f>IF('Engagement Log'!P419="","",'Engagement Log'!P419)</f>
        <v/>
      </c>
      <c r="I414" s="76" t="str">
        <f>IF('Engagement Log'!Q419="","",'Engagement Log'!Q419)</f>
        <v/>
      </c>
      <c r="J414" s="77" t="str">
        <f>IF('Engagement Log'!L419="","",'Engagement Log'!L419)</f>
        <v/>
      </c>
    </row>
    <row r="415" spans="1:10" x14ac:dyDescent="0.3">
      <c r="A415" s="68" t="str">
        <f>IF('Engagement Log'!O420="","",'Engagement Log'!O420)</f>
        <v/>
      </c>
      <c r="B415" s="69" t="str">
        <f ca="1">IF('Engagement Log'!O420="","",'Engagement Log'!O420-TODAY())</f>
        <v/>
      </c>
      <c r="C415" s="70" t="str">
        <f>IF('Engagement Log'!B420="","",'Engagement Log'!B420)</f>
        <v/>
      </c>
      <c r="D415" s="70" t="str">
        <f>IF('Engagement Log'!D420="","",'Engagement Log'!D420)</f>
        <v/>
      </c>
      <c r="E415" s="70" t="str">
        <f>IF('Engagement Log'!G420="","",'Engagement Log'!G420)</f>
        <v/>
      </c>
      <c r="F415" s="70" t="str">
        <f>IF('Engagement Log'!N420="","",'Engagement Log'!N420)</f>
        <v/>
      </c>
      <c r="G415" s="70" t="str">
        <f>IF('Engagement Log'!C420="","",'Engagement Log'!C420)</f>
        <v/>
      </c>
      <c r="H415" s="71" t="str">
        <f>IF('Engagement Log'!P420="","",'Engagement Log'!P420)</f>
        <v/>
      </c>
      <c r="I415" s="71" t="str">
        <f>IF('Engagement Log'!Q420="","",'Engagement Log'!Q420)</f>
        <v/>
      </c>
      <c r="J415" s="72" t="str">
        <f>IF('Engagement Log'!L420="","",'Engagement Log'!L420)</f>
        <v/>
      </c>
    </row>
    <row r="416" spans="1:10" x14ac:dyDescent="0.3">
      <c r="A416" s="73" t="str">
        <f>IF('Engagement Log'!O421="","",'Engagement Log'!O421)</f>
        <v/>
      </c>
      <c r="B416" s="74" t="str">
        <f ca="1">IF('Engagement Log'!O421="","",'Engagement Log'!O421-TODAY())</f>
        <v/>
      </c>
      <c r="C416" s="75" t="str">
        <f>IF('Engagement Log'!B421="","",'Engagement Log'!B421)</f>
        <v/>
      </c>
      <c r="D416" s="75" t="str">
        <f>IF('Engagement Log'!D421="","",'Engagement Log'!D421)</f>
        <v/>
      </c>
      <c r="E416" s="75" t="str">
        <f>IF('Engagement Log'!G421="","",'Engagement Log'!G421)</f>
        <v/>
      </c>
      <c r="F416" s="75" t="str">
        <f>IF('Engagement Log'!N421="","",'Engagement Log'!N421)</f>
        <v/>
      </c>
      <c r="G416" s="75" t="str">
        <f>IF('Engagement Log'!C421="","",'Engagement Log'!C421)</f>
        <v/>
      </c>
      <c r="H416" s="76" t="str">
        <f>IF('Engagement Log'!P421="","",'Engagement Log'!P421)</f>
        <v/>
      </c>
      <c r="I416" s="76" t="str">
        <f>IF('Engagement Log'!Q421="","",'Engagement Log'!Q421)</f>
        <v/>
      </c>
      <c r="J416" s="77" t="str">
        <f>IF('Engagement Log'!L421="","",'Engagement Log'!L421)</f>
        <v/>
      </c>
    </row>
    <row r="417" spans="1:10" x14ac:dyDescent="0.3">
      <c r="A417" s="68" t="str">
        <f>IF('Engagement Log'!O422="","",'Engagement Log'!O422)</f>
        <v/>
      </c>
      <c r="B417" s="69" t="str">
        <f ca="1">IF('Engagement Log'!O422="","",'Engagement Log'!O422-TODAY())</f>
        <v/>
      </c>
      <c r="C417" s="70" t="str">
        <f>IF('Engagement Log'!B422="","",'Engagement Log'!B422)</f>
        <v/>
      </c>
      <c r="D417" s="70" t="str">
        <f>IF('Engagement Log'!D422="","",'Engagement Log'!D422)</f>
        <v/>
      </c>
      <c r="E417" s="70" t="str">
        <f>IF('Engagement Log'!G422="","",'Engagement Log'!G422)</f>
        <v/>
      </c>
      <c r="F417" s="70" t="str">
        <f>IF('Engagement Log'!N422="","",'Engagement Log'!N422)</f>
        <v/>
      </c>
      <c r="G417" s="70" t="str">
        <f>IF('Engagement Log'!C422="","",'Engagement Log'!C422)</f>
        <v/>
      </c>
      <c r="H417" s="71" t="str">
        <f>IF('Engagement Log'!P422="","",'Engagement Log'!P422)</f>
        <v/>
      </c>
      <c r="I417" s="71" t="str">
        <f>IF('Engagement Log'!Q422="","",'Engagement Log'!Q422)</f>
        <v/>
      </c>
      <c r="J417" s="72" t="str">
        <f>IF('Engagement Log'!L422="","",'Engagement Log'!L422)</f>
        <v/>
      </c>
    </row>
    <row r="418" spans="1:10" x14ac:dyDescent="0.3">
      <c r="A418" s="73" t="str">
        <f>IF('Engagement Log'!O423="","",'Engagement Log'!O423)</f>
        <v/>
      </c>
      <c r="B418" s="74" t="str">
        <f ca="1">IF('Engagement Log'!O423="","",'Engagement Log'!O423-TODAY())</f>
        <v/>
      </c>
      <c r="C418" s="75" t="str">
        <f>IF('Engagement Log'!B423="","",'Engagement Log'!B423)</f>
        <v/>
      </c>
      <c r="D418" s="75" t="str">
        <f>IF('Engagement Log'!D423="","",'Engagement Log'!D423)</f>
        <v/>
      </c>
      <c r="E418" s="75" t="str">
        <f>IF('Engagement Log'!G423="","",'Engagement Log'!G423)</f>
        <v/>
      </c>
      <c r="F418" s="75" t="str">
        <f>IF('Engagement Log'!N423="","",'Engagement Log'!N423)</f>
        <v/>
      </c>
      <c r="G418" s="75" t="str">
        <f>IF('Engagement Log'!C423="","",'Engagement Log'!C423)</f>
        <v/>
      </c>
      <c r="H418" s="76" t="str">
        <f>IF('Engagement Log'!P423="","",'Engagement Log'!P423)</f>
        <v/>
      </c>
      <c r="I418" s="76" t="str">
        <f>IF('Engagement Log'!Q423="","",'Engagement Log'!Q423)</f>
        <v/>
      </c>
      <c r="J418" s="77" t="str">
        <f>IF('Engagement Log'!L423="","",'Engagement Log'!L423)</f>
        <v/>
      </c>
    </row>
    <row r="419" spans="1:10" x14ac:dyDescent="0.3">
      <c r="A419" s="68" t="str">
        <f>IF('Engagement Log'!O424="","",'Engagement Log'!O424)</f>
        <v/>
      </c>
      <c r="B419" s="69" t="str">
        <f ca="1">IF('Engagement Log'!O424="","",'Engagement Log'!O424-TODAY())</f>
        <v/>
      </c>
      <c r="C419" s="70" t="str">
        <f>IF('Engagement Log'!B424="","",'Engagement Log'!B424)</f>
        <v/>
      </c>
      <c r="D419" s="70" t="str">
        <f>IF('Engagement Log'!D424="","",'Engagement Log'!D424)</f>
        <v/>
      </c>
      <c r="E419" s="70" t="str">
        <f>IF('Engagement Log'!G424="","",'Engagement Log'!G424)</f>
        <v/>
      </c>
      <c r="F419" s="70" t="str">
        <f>IF('Engagement Log'!N424="","",'Engagement Log'!N424)</f>
        <v/>
      </c>
      <c r="G419" s="70" t="str">
        <f>IF('Engagement Log'!C424="","",'Engagement Log'!C424)</f>
        <v/>
      </c>
      <c r="H419" s="71" t="str">
        <f>IF('Engagement Log'!P424="","",'Engagement Log'!P424)</f>
        <v/>
      </c>
      <c r="I419" s="71" t="str">
        <f>IF('Engagement Log'!Q424="","",'Engagement Log'!Q424)</f>
        <v/>
      </c>
      <c r="J419" s="72" t="str">
        <f>IF('Engagement Log'!L424="","",'Engagement Log'!L424)</f>
        <v/>
      </c>
    </row>
    <row r="420" spans="1:10" x14ac:dyDescent="0.3">
      <c r="A420" s="73" t="str">
        <f>IF('Engagement Log'!O425="","",'Engagement Log'!O425)</f>
        <v/>
      </c>
      <c r="B420" s="74" t="str">
        <f ca="1">IF('Engagement Log'!O425="","",'Engagement Log'!O425-TODAY())</f>
        <v/>
      </c>
      <c r="C420" s="75" t="str">
        <f>IF('Engagement Log'!B425="","",'Engagement Log'!B425)</f>
        <v/>
      </c>
      <c r="D420" s="75" t="str">
        <f>IF('Engagement Log'!D425="","",'Engagement Log'!D425)</f>
        <v/>
      </c>
      <c r="E420" s="75" t="str">
        <f>IF('Engagement Log'!G425="","",'Engagement Log'!G425)</f>
        <v/>
      </c>
      <c r="F420" s="75" t="str">
        <f>IF('Engagement Log'!N425="","",'Engagement Log'!N425)</f>
        <v/>
      </c>
      <c r="G420" s="75" t="str">
        <f>IF('Engagement Log'!C425="","",'Engagement Log'!C425)</f>
        <v/>
      </c>
      <c r="H420" s="76" t="str">
        <f>IF('Engagement Log'!P425="","",'Engagement Log'!P425)</f>
        <v/>
      </c>
      <c r="I420" s="76" t="str">
        <f>IF('Engagement Log'!Q425="","",'Engagement Log'!Q425)</f>
        <v/>
      </c>
      <c r="J420" s="77" t="str">
        <f>IF('Engagement Log'!L425="","",'Engagement Log'!L425)</f>
        <v/>
      </c>
    </row>
    <row r="421" spans="1:10" x14ac:dyDescent="0.3">
      <c r="A421" s="68" t="str">
        <f>IF('Engagement Log'!O426="","",'Engagement Log'!O426)</f>
        <v/>
      </c>
      <c r="B421" s="69" t="str">
        <f ca="1">IF('Engagement Log'!O426="","",'Engagement Log'!O426-TODAY())</f>
        <v/>
      </c>
      <c r="C421" s="70" t="str">
        <f>IF('Engagement Log'!B426="","",'Engagement Log'!B426)</f>
        <v/>
      </c>
      <c r="D421" s="70" t="str">
        <f>IF('Engagement Log'!D426="","",'Engagement Log'!D426)</f>
        <v/>
      </c>
      <c r="E421" s="70" t="str">
        <f>IF('Engagement Log'!G426="","",'Engagement Log'!G426)</f>
        <v/>
      </c>
      <c r="F421" s="70" t="str">
        <f>IF('Engagement Log'!N426="","",'Engagement Log'!N426)</f>
        <v/>
      </c>
      <c r="G421" s="70" t="str">
        <f>IF('Engagement Log'!C426="","",'Engagement Log'!C426)</f>
        <v/>
      </c>
      <c r="H421" s="71" t="str">
        <f>IF('Engagement Log'!P426="","",'Engagement Log'!P426)</f>
        <v/>
      </c>
      <c r="I421" s="71" t="str">
        <f>IF('Engagement Log'!Q426="","",'Engagement Log'!Q426)</f>
        <v/>
      </c>
      <c r="J421" s="72" t="str">
        <f>IF('Engagement Log'!L426="","",'Engagement Log'!L426)</f>
        <v/>
      </c>
    </row>
    <row r="422" spans="1:10" x14ac:dyDescent="0.3">
      <c r="A422" s="73" t="str">
        <f>IF('Engagement Log'!O427="","",'Engagement Log'!O427)</f>
        <v/>
      </c>
      <c r="B422" s="74" t="str">
        <f ca="1">IF('Engagement Log'!O427="","",'Engagement Log'!O427-TODAY())</f>
        <v/>
      </c>
      <c r="C422" s="75" t="str">
        <f>IF('Engagement Log'!B427="","",'Engagement Log'!B427)</f>
        <v/>
      </c>
      <c r="D422" s="75" t="str">
        <f>IF('Engagement Log'!D427="","",'Engagement Log'!D427)</f>
        <v/>
      </c>
      <c r="E422" s="75" t="str">
        <f>IF('Engagement Log'!G427="","",'Engagement Log'!G427)</f>
        <v/>
      </c>
      <c r="F422" s="75" t="str">
        <f>IF('Engagement Log'!N427="","",'Engagement Log'!N427)</f>
        <v/>
      </c>
      <c r="G422" s="75" t="str">
        <f>IF('Engagement Log'!C427="","",'Engagement Log'!C427)</f>
        <v/>
      </c>
      <c r="H422" s="76" t="str">
        <f>IF('Engagement Log'!P427="","",'Engagement Log'!P427)</f>
        <v/>
      </c>
      <c r="I422" s="76" t="str">
        <f>IF('Engagement Log'!Q427="","",'Engagement Log'!Q427)</f>
        <v/>
      </c>
      <c r="J422" s="77" t="str">
        <f>IF('Engagement Log'!L427="","",'Engagement Log'!L427)</f>
        <v/>
      </c>
    </row>
    <row r="423" spans="1:10" x14ac:dyDescent="0.3">
      <c r="A423" s="68" t="str">
        <f>IF('Engagement Log'!O428="","",'Engagement Log'!O428)</f>
        <v/>
      </c>
      <c r="B423" s="69" t="str">
        <f ca="1">IF('Engagement Log'!O428="","",'Engagement Log'!O428-TODAY())</f>
        <v/>
      </c>
      <c r="C423" s="70" t="str">
        <f>IF('Engagement Log'!B428="","",'Engagement Log'!B428)</f>
        <v/>
      </c>
      <c r="D423" s="70" t="str">
        <f>IF('Engagement Log'!D428="","",'Engagement Log'!D428)</f>
        <v/>
      </c>
      <c r="E423" s="70" t="str">
        <f>IF('Engagement Log'!G428="","",'Engagement Log'!G428)</f>
        <v/>
      </c>
      <c r="F423" s="70" t="str">
        <f>IF('Engagement Log'!N428="","",'Engagement Log'!N428)</f>
        <v/>
      </c>
      <c r="G423" s="70" t="str">
        <f>IF('Engagement Log'!C428="","",'Engagement Log'!C428)</f>
        <v/>
      </c>
      <c r="H423" s="71" t="str">
        <f>IF('Engagement Log'!P428="","",'Engagement Log'!P428)</f>
        <v/>
      </c>
      <c r="I423" s="71" t="str">
        <f>IF('Engagement Log'!Q428="","",'Engagement Log'!Q428)</f>
        <v/>
      </c>
      <c r="J423" s="72" t="str">
        <f>IF('Engagement Log'!L428="","",'Engagement Log'!L428)</f>
        <v/>
      </c>
    </row>
    <row r="424" spans="1:10" x14ac:dyDescent="0.3">
      <c r="A424" s="73" t="str">
        <f>IF('Engagement Log'!O429="","",'Engagement Log'!O429)</f>
        <v/>
      </c>
      <c r="B424" s="74" t="str">
        <f ca="1">IF('Engagement Log'!O429="","",'Engagement Log'!O429-TODAY())</f>
        <v/>
      </c>
      <c r="C424" s="75" t="str">
        <f>IF('Engagement Log'!B429="","",'Engagement Log'!B429)</f>
        <v/>
      </c>
      <c r="D424" s="75" t="str">
        <f>IF('Engagement Log'!D429="","",'Engagement Log'!D429)</f>
        <v/>
      </c>
      <c r="E424" s="75" t="str">
        <f>IF('Engagement Log'!G429="","",'Engagement Log'!G429)</f>
        <v/>
      </c>
      <c r="F424" s="75" t="str">
        <f>IF('Engagement Log'!N429="","",'Engagement Log'!N429)</f>
        <v/>
      </c>
      <c r="G424" s="75" t="str">
        <f>IF('Engagement Log'!C429="","",'Engagement Log'!C429)</f>
        <v/>
      </c>
      <c r="H424" s="76" t="str">
        <f>IF('Engagement Log'!P429="","",'Engagement Log'!P429)</f>
        <v/>
      </c>
      <c r="I424" s="76" t="str">
        <f>IF('Engagement Log'!Q429="","",'Engagement Log'!Q429)</f>
        <v/>
      </c>
      <c r="J424" s="77" t="str">
        <f>IF('Engagement Log'!L429="","",'Engagement Log'!L429)</f>
        <v/>
      </c>
    </row>
    <row r="425" spans="1:10" x14ac:dyDescent="0.3">
      <c r="A425" s="68" t="str">
        <f>IF('Engagement Log'!O430="","",'Engagement Log'!O430)</f>
        <v/>
      </c>
      <c r="B425" s="69" t="str">
        <f ca="1">IF('Engagement Log'!O430="","",'Engagement Log'!O430-TODAY())</f>
        <v/>
      </c>
      <c r="C425" s="70" t="str">
        <f>IF('Engagement Log'!B430="","",'Engagement Log'!B430)</f>
        <v/>
      </c>
      <c r="D425" s="70" t="str">
        <f>IF('Engagement Log'!D430="","",'Engagement Log'!D430)</f>
        <v/>
      </c>
      <c r="E425" s="70" t="str">
        <f>IF('Engagement Log'!G430="","",'Engagement Log'!G430)</f>
        <v/>
      </c>
      <c r="F425" s="70" t="str">
        <f>IF('Engagement Log'!N430="","",'Engagement Log'!N430)</f>
        <v/>
      </c>
      <c r="G425" s="70" t="str">
        <f>IF('Engagement Log'!C430="","",'Engagement Log'!C430)</f>
        <v/>
      </c>
      <c r="H425" s="71" t="str">
        <f>IF('Engagement Log'!P430="","",'Engagement Log'!P430)</f>
        <v/>
      </c>
      <c r="I425" s="71" t="str">
        <f>IF('Engagement Log'!Q430="","",'Engagement Log'!Q430)</f>
        <v/>
      </c>
      <c r="J425" s="72" t="str">
        <f>IF('Engagement Log'!L430="","",'Engagement Log'!L430)</f>
        <v/>
      </c>
    </row>
    <row r="426" spans="1:10" x14ac:dyDescent="0.3">
      <c r="A426" s="73" t="str">
        <f>IF('Engagement Log'!O431="","",'Engagement Log'!O431)</f>
        <v/>
      </c>
      <c r="B426" s="74" t="str">
        <f ca="1">IF('Engagement Log'!O431="","",'Engagement Log'!O431-TODAY())</f>
        <v/>
      </c>
      <c r="C426" s="75" t="str">
        <f>IF('Engagement Log'!B431="","",'Engagement Log'!B431)</f>
        <v/>
      </c>
      <c r="D426" s="75" t="str">
        <f>IF('Engagement Log'!D431="","",'Engagement Log'!D431)</f>
        <v/>
      </c>
      <c r="E426" s="75" t="str">
        <f>IF('Engagement Log'!G431="","",'Engagement Log'!G431)</f>
        <v/>
      </c>
      <c r="F426" s="75" t="str">
        <f>IF('Engagement Log'!N431="","",'Engagement Log'!N431)</f>
        <v/>
      </c>
      <c r="G426" s="75" t="str">
        <f>IF('Engagement Log'!C431="","",'Engagement Log'!C431)</f>
        <v/>
      </c>
      <c r="H426" s="76" t="str">
        <f>IF('Engagement Log'!P431="","",'Engagement Log'!P431)</f>
        <v/>
      </c>
      <c r="I426" s="76" t="str">
        <f>IF('Engagement Log'!Q431="","",'Engagement Log'!Q431)</f>
        <v/>
      </c>
      <c r="J426" s="77" t="str">
        <f>IF('Engagement Log'!L431="","",'Engagement Log'!L431)</f>
        <v/>
      </c>
    </row>
    <row r="427" spans="1:10" x14ac:dyDescent="0.3">
      <c r="A427" s="68" t="str">
        <f>IF('Engagement Log'!O432="","",'Engagement Log'!O432)</f>
        <v/>
      </c>
      <c r="B427" s="69" t="str">
        <f ca="1">IF('Engagement Log'!O432="","",'Engagement Log'!O432-TODAY())</f>
        <v/>
      </c>
      <c r="C427" s="70" t="str">
        <f>IF('Engagement Log'!B432="","",'Engagement Log'!B432)</f>
        <v/>
      </c>
      <c r="D427" s="70" t="str">
        <f>IF('Engagement Log'!D432="","",'Engagement Log'!D432)</f>
        <v/>
      </c>
      <c r="E427" s="70" t="str">
        <f>IF('Engagement Log'!G432="","",'Engagement Log'!G432)</f>
        <v/>
      </c>
      <c r="F427" s="70" t="str">
        <f>IF('Engagement Log'!N432="","",'Engagement Log'!N432)</f>
        <v/>
      </c>
      <c r="G427" s="70" t="str">
        <f>IF('Engagement Log'!C432="","",'Engagement Log'!C432)</f>
        <v/>
      </c>
      <c r="H427" s="71" t="str">
        <f>IF('Engagement Log'!P432="","",'Engagement Log'!P432)</f>
        <v/>
      </c>
      <c r="I427" s="71" t="str">
        <f>IF('Engagement Log'!Q432="","",'Engagement Log'!Q432)</f>
        <v/>
      </c>
      <c r="J427" s="72" t="str">
        <f>IF('Engagement Log'!L432="","",'Engagement Log'!L432)</f>
        <v/>
      </c>
    </row>
    <row r="428" spans="1:10" x14ac:dyDescent="0.3">
      <c r="A428" s="73" t="str">
        <f>IF('Engagement Log'!O433="","",'Engagement Log'!O433)</f>
        <v/>
      </c>
      <c r="B428" s="74" t="str">
        <f ca="1">IF('Engagement Log'!O433="","",'Engagement Log'!O433-TODAY())</f>
        <v/>
      </c>
      <c r="C428" s="75" t="str">
        <f>IF('Engagement Log'!B433="","",'Engagement Log'!B433)</f>
        <v/>
      </c>
      <c r="D428" s="75" t="str">
        <f>IF('Engagement Log'!D433="","",'Engagement Log'!D433)</f>
        <v/>
      </c>
      <c r="E428" s="75" t="str">
        <f>IF('Engagement Log'!G433="","",'Engagement Log'!G433)</f>
        <v/>
      </c>
      <c r="F428" s="75" t="str">
        <f>IF('Engagement Log'!N433="","",'Engagement Log'!N433)</f>
        <v/>
      </c>
      <c r="G428" s="75" t="str">
        <f>IF('Engagement Log'!C433="","",'Engagement Log'!C433)</f>
        <v/>
      </c>
      <c r="H428" s="76" t="str">
        <f>IF('Engagement Log'!P433="","",'Engagement Log'!P433)</f>
        <v/>
      </c>
      <c r="I428" s="76" t="str">
        <f>IF('Engagement Log'!Q433="","",'Engagement Log'!Q433)</f>
        <v/>
      </c>
      <c r="J428" s="77" t="str">
        <f>IF('Engagement Log'!L433="","",'Engagement Log'!L433)</f>
        <v/>
      </c>
    </row>
    <row r="429" spans="1:10" x14ac:dyDescent="0.3">
      <c r="A429" s="68" t="str">
        <f>IF('Engagement Log'!O434="","",'Engagement Log'!O434)</f>
        <v/>
      </c>
      <c r="B429" s="69" t="str">
        <f ca="1">IF('Engagement Log'!O434="","",'Engagement Log'!O434-TODAY())</f>
        <v/>
      </c>
      <c r="C429" s="70" t="str">
        <f>IF('Engagement Log'!B434="","",'Engagement Log'!B434)</f>
        <v/>
      </c>
      <c r="D429" s="70" t="str">
        <f>IF('Engagement Log'!D434="","",'Engagement Log'!D434)</f>
        <v/>
      </c>
      <c r="E429" s="70" t="str">
        <f>IF('Engagement Log'!G434="","",'Engagement Log'!G434)</f>
        <v/>
      </c>
      <c r="F429" s="70" t="str">
        <f>IF('Engagement Log'!N434="","",'Engagement Log'!N434)</f>
        <v/>
      </c>
      <c r="G429" s="70" t="str">
        <f>IF('Engagement Log'!C434="","",'Engagement Log'!C434)</f>
        <v/>
      </c>
      <c r="H429" s="71" t="str">
        <f>IF('Engagement Log'!P434="","",'Engagement Log'!P434)</f>
        <v/>
      </c>
      <c r="I429" s="71" t="str">
        <f>IF('Engagement Log'!Q434="","",'Engagement Log'!Q434)</f>
        <v/>
      </c>
      <c r="J429" s="72" t="str">
        <f>IF('Engagement Log'!L434="","",'Engagement Log'!L434)</f>
        <v/>
      </c>
    </row>
    <row r="430" spans="1:10" x14ac:dyDescent="0.3">
      <c r="A430" s="73" t="str">
        <f>IF('Engagement Log'!O435="","",'Engagement Log'!O435)</f>
        <v/>
      </c>
      <c r="B430" s="74" t="str">
        <f ca="1">IF('Engagement Log'!O435="","",'Engagement Log'!O435-TODAY())</f>
        <v/>
      </c>
      <c r="C430" s="75" t="str">
        <f>IF('Engagement Log'!B435="","",'Engagement Log'!B435)</f>
        <v/>
      </c>
      <c r="D430" s="75" t="str">
        <f>IF('Engagement Log'!D435="","",'Engagement Log'!D435)</f>
        <v/>
      </c>
      <c r="E430" s="75" t="str">
        <f>IF('Engagement Log'!G435="","",'Engagement Log'!G435)</f>
        <v/>
      </c>
      <c r="F430" s="75" t="str">
        <f>IF('Engagement Log'!N435="","",'Engagement Log'!N435)</f>
        <v/>
      </c>
      <c r="G430" s="75" t="str">
        <f>IF('Engagement Log'!C435="","",'Engagement Log'!C435)</f>
        <v/>
      </c>
      <c r="H430" s="76" t="str">
        <f>IF('Engagement Log'!P435="","",'Engagement Log'!P435)</f>
        <v/>
      </c>
      <c r="I430" s="76" t="str">
        <f>IF('Engagement Log'!Q435="","",'Engagement Log'!Q435)</f>
        <v/>
      </c>
      <c r="J430" s="77" t="str">
        <f>IF('Engagement Log'!L435="","",'Engagement Log'!L435)</f>
        <v/>
      </c>
    </row>
    <row r="431" spans="1:10" x14ac:dyDescent="0.3">
      <c r="A431" s="68" t="str">
        <f>IF('Engagement Log'!O436="","",'Engagement Log'!O436)</f>
        <v/>
      </c>
      <c r="B431" s="69" t="str">
        <f ca="1">IF('Engagement Log'!O436="","",'Engagement Log'!O436-TODAY())</f>
        <v/>
      </c>
      <c r="C431" s="70" t="str">
        <f>IF('Engagement Log'!B436="","",'Engagement Log'!B436)</f>
        <v/>
      </c>
      <c r="D431" s="70" t="str">
        <f>IF('Engagement Log'!D436="","",'Engagement Log'!D436)</f>
        <v/>
      </c>
      <c r="E431" s="70" t="str">
        <f>IF('Engagement Log'!G436="","",'Engagement Log'!G436)</f>
        <v/>
      </c>
      <c r="F431" s="70" t="str">
        <f>IF('Engagement Log'!N436="","",'Engagement Log'!N436)</f>
        <v/>
      </c>
      <c r="G431" s="70" t="str">
        <f>IF('Engagement Log'!C436="","",'Engagement Log'!C436)</f>
        <v/>
      </c>
      <c r="H431" s="71" t="str">
        <f>IF('Engagement Log'!P436="","",'Engagement Log'!P436)</f>
        <v/>
      </c>
      <c r="I431" s="71" t="str">
        <f>IF('Engagement Log'!Q436="","",'Engagement Log'!Q436)</f>
        <v/>
      </c>
      <c r="J431" s="72" t="str">
        <f>IF('Engagement Log'!L436="","",'Engagement Log'!L436)</f>
        <v/>
      </c>
    </row>
    <row r="432" spans="1:10" x14ac:dyDescent="0.3">
      <c r="A432" s="73" t="str">
        <f>IF('Engagement Log'!O437="","",'Engagement Log'!O437)</f>
        <v/>
      </c>
      <c r="B432" s="74" t="str">
        <f ca="1">IF('Engagement Log'!O437="","",'Engagement Log'!O437-TODAY())</f>
        <v/>
      </c>
      <c r="C432" s="75" t="str">
        <f>IF('Engagement Log'!B437="","",'Engagement Log'!B437)</f>
        <v/>
      </c>
      <c r="D432" s="75" t="str">
        <f>IF('Engagement Log'!D437="","",'Engagement Log'!D437)</f>
        <v/>
      </c>
      <c r="E432" s="75" t="str">
        <f>IF('Engagement Log'!G437="","",'Engagement Log'!G437)</f>
        <v/>
      </c>
      <c r="F432" s="75" t="str">
        <f>IF('Engagement Log'!N437="","",'Engagement Log'!N437)</f>
        <v/>
      </c>
      <c r="G432" s="75" t="str">
        <f>IF('Engagement Log'!C437="","",'Engagement Log'!C437)</f>
        <v/>
      </c>
      <c r="H432" s="76" t="str">
        <f>IF('Engagement Log'!P437="","",'Engagement Log'!P437)</f>
        <v/>
      </c>
      <c r="I432" s="76" t="str">
        <f>IF('Engagement Log'!Q437="","",'Engagement Log'!Q437)</f>
        <v/>
      </c>
      <c r="J432" s="77" t="str">
        <f>IF('Engagement Log'!L437="","",'Engagement Log'!L437)</f>
        <v/>
      </c>
    </row>
    <row r="433" spans="1:10" x14ac:dyDescent="0.3">
      <c r="A433" s="68" t="str">
        <f>IF('Engagement Log'!O438="","",'Engagement Log'!O438)</f>
        <v/>
      </c>
      <c r="B433" s="69" t="str">
        <f ca="1">IF('Engagement Log'!O438="","",'Engagement Log'!O438-TODAY())</f>
        <v/>
      </c>
      <c r="C433" s="70" t="str">
        <f>IF('Engagement Log'!B438="","",'Engagement Log'!B438)</f>
        <v/>
      </c>
      <c r="D433" s="70" t="str">
        <f>IF('Engagement Log'!D438="","",'Engagement Log'!D438)</f>
        <v/>
      </c>
      <c r="E433" s="70" t="str">
        <f>IF('Engagement Log'!G438="","",'Engagement Log'!G438)</f>
        <v/>
      </c>
      <c r="F433" s="70" t="str">
        <f>IF('Engagement Log'!N438="","",'Engagement Log'!N438)</f>
        <v/>
      </c>
      <c r="G433" s="70" t="str">
        <f>IF('Engagement Log'!C438="","",'Engagement Log'!C438)</f>
        <v/>
      </c>
      <c r="H433" s="71" t="str">
        <f>IF('Engagement Log'!P438="","",'Engagement Log'!P438)</f>
        <v/>
      </c>
      <c r="I433" s="71" t="str">
        <f>IF('Engagement Log'!Q438="","",'Engagement Log'!Q438)</f>
        <v/>
      </c>
      <c r="J433" s="72" t="str">
        <f>IF('Engagement Log'!L438="","",'Engagement Log'!L438)</f>
        <v/>
      </c>
    </row>
    <row r="434" spans="1:10" x14ac:dyDescent="0.3">
      <c r="A434" s="73" t="str">
        <f>IF('Engagement Log'!O439="","",'Engagement Log'!O439)</f>
        <v/>
      </c>
      <c r="B434" s="74" t="str">
        <f ca="1">IF('Engagement Log'!O439="","",'Engagement Log'!O439-TODAY())</f>
        <v/>
      </c>
      <c r="C434" s="75" t="str">
        <f>IF('Engagement Log'!B439="","",'Engagement Log'!B439)</f>
        <v/>
      </c>
      <c r="D434" s="75" t="str">
        <f>IF('Engagement Log'!D439="","",'Engagement Log'!D439)</f>
        <v/>
      </c>
      <c r="E434" s="75" t="str">
        <f>IF('Engagement Log'!G439="","",'Engagement Log'!G439)</f>
        <v/>
      </c>
      <c r="F434" s="75" t="str">
        <f>IF('Engagement Log'!N439="","",'Engagement Log'!N439)</f>
        <v/>
      </c>
      <c r="G434" s="75" t="str">
        <f>IF('Engagement Log'!C439="","",'Engagement Log'!C439)</f>
        <v/>
      </c>
      <c r="H434" s="76" t="str">
        <f>IF('Engagement Log'!P439="","",'Engagement Log'!P439)</f>
        <v/>
      </c>
      <c r="I434" s="76" t="str">
        <f>IF('Engagement Log'!Q439="","",'Engagement Log'!Q439)</f>
        <v/>
      </c>
      <c r="J434" s="77" t="str">
        <f>IF('Engagement Log'!L439="","",'Engagement Log'!L439)</f>
        <v/>
      </c>
    </row>
    <row r="435" spans="1:10" x14ac:dyDescent="0.3">
      <c r="A435" s="68" t="str">
        <f>IF('Engagement Log'!O440="","",'Engagement Log'!O440)</f>
        <v/>
      </c>
      <c r="B435" s="69" t="str">
        <f ca="1">IF('Engagement Log'!O440="","",'Engagement Log'!O440-TODAY())</f>
        <v/>
      </c>
      <c r="C435" s="70" t="str">
        <f>IF('Engagement Log'!B440="","",'Engagement Log'!B440)</f>
        <v/>
      </c>
      <c r="D435" s="70" t="str">
        <f>IF('Engagement Log'!D440="","",'Engagement Log'!D440)</f>
        <v/>
      </c>
      <c r="E435" s="70" t="str">
        <f>IF('Engagement Log'!G440="","",'Engagement Log'!G440)</f>
        <v/>
      </c>
      <c r="F435" s="70" t="str">
        <f>IF('Engagement Log'!N440="","",'Engagement Log'!N440)</f>
        <v/>
      </c>
      <c r="G435" s="70" t="str">
        <f>IF('Engagement Log'!C440="","",'Engagement Log'!C440)</f>
        <v/>
      </c>
      <c r="H435" s="71" t="str">
        <f>IF('Engagement Log'!P440="","",'Engagement Log'!P440)</f>
        <v/>
      </c>
      <c r="I435" s="71" t="str">
        <f>IF('Engagement Log'!Q440="","",'Engagement Log'!Q440)</f>
        <v/>
      </c>
      <c r="J435" s="72" t="str">
        <f>IF('Engagement Log'!L440="","",'Engagement Log'!L440)</f>
        <v/>
      </c>
    </row>
    <row r="436" spans="1:10" x14ac:dyDescent="0.3">
      <c r="A436" s="73" t="str">
        <f>IF('Engagement Log'!O441="","",'Engagement Log'!O441)</f>
        <v/>
      </c>
      <c r="B436" s="74" t="str">
        <f ca="1">IF('Engagement Log'!O441="","",'Engagement Log'!O441-TODAY())</f>
        <v/>
      </c>
      <c r="C436" s="75" t="str">
        <f>IF('Engagement Log'!B441="","",'Engagement Log'!B441)</f>
        <v/>
      </c>
      <c r="D436" s="75" t="str">
        <f>IF('Engagement Log'!D441="","",'Engagement Log'!D441)</f>
        <v/>
      </c>
      <c r="E436" s="75" t="str">
        <f>IF('Engagement Log'!G441="","",'Engagement Log'!G441)</f>
        <v/>
      </c>
      <c r="F436" s="75" t="str">
        <f>IF('Engagement Log'!N441="","",'Engagement Log'!N441)</f>
        <v/>
      </c>
      <c r="G436" s="75" t="str">
        <f>IF('Engagement Log'!C441="","",'Engagement Log'!C441)</f>
        <v/>
      </c>
      <c r="H436" s="76" t="str">
        <f>IF('Engagement Log'!P441="","",'Engagement Log'!P441)</f>
        <v/>
      </c>
      <c r="I436" s="76" t="str">
        <f>IF('Engagement Log'!Q441="","",'Engagement Log'!Q441)</f>
        <v/>
      </c>
      <c r="J436" s="77" t="str">
        <f>IF('Engagement Log'!L441="","",'Engagement Log'!L441)</f>
        <v/>
      </c>
    </row>
    <row r="437" spans="1:10" x14ac:dyDescent="0.3">
      <c r="A437" s="68" t="str">
        <f>IF('Engagement Log'!O442="","",'Engagement Log'!O442)</f>
        <v/>
      </c>
      <c r="B437" s="69" t="str">
        <f ca="1">IF('Engagement Log'!O442="","",'Engagement Log'!O442-TODAY())</f>
        <v/>
      </c>
      <c r="C437" s="70" t="str">
        <f>IF('Engagement Log'!B442="","",'Engagement Log'!B442)</f>
        <v/>
      </c>
      <c r="D437" s="70" t="str">
        <f>IF('Engagement Log'!D442="","",'Engagement Log'!D442)</f>
        <v/>
      </c>
      <c r="E437" s="70" t="str">
        <f>IF('Engagement Log'!G442="","",'Engagement Log'!G442)</f>
        <v/>
      </c>
      <c r="F437" s="70" t="str">
        <f>IF('Engagement Log'!N442="","",'Engagement Log'!N442)</f>
        <v/>
      </c>
      <c r="G437" s="70" t="str">
        <f>IF('Engagement Log'!C442="","",'Engagement Log'!C442)</f>
        <v/>
      </c>
      <c r="H437" s="71" t="str">
        <f>IF('Engagement Log'!P442="","",'Engagement Log'!P442)</f>
        <v/>
      </c>
      <c r="I437" s="71" t="str">
        <f>IF('Engagement Log'!Q442="","",'Engagement Log'!Q442)</f>
        <v/>
      </c>
      <c r="J437" s="72" t="str">
        <f>IF('Engagement Log'!L442="","",'Engagement Log'!L442)</f>
        <v/>
      </c>
    </row>
    <row r="438" spans="1:10" x14ac:dyDescent="0.3">
      <c r="A438" s="73" t="str">
        <f>IF('Engagement Log'!O443="","",'Engagement Log'!O443)</f>
        <v/>
      </c>
      <c r="B438" s="74" t="str">
        <f ca="1">IF('Engagement Log'!O443="","",'Engagement Log'!O443-TODAY())</f>
        <v/>
      </c>
      <c r="C438" s="75" t="str">
        <f>IF('Engagement Log'!B443="","",'Engagement Log'!B443)</f>
        <v/>
      </c>
      <c r="D438" s="75" t="str">
        <f>IF('Engagement Log'!D443="","",'Engagement Log'!D443)</f>
        <v/>
      </c>
      <c r="E438" s="75" t="str">
        <f>IF('Engagement Log'!G443="","",'Engagement Log'!G443)</f>
        <v/>
      </c>
      <c r="F438" s="75" t="str">
        <f>IF('Engagement Log'!N443="","",'Engagement Log'!N443)</f>
        <v/>
      </c>
      <c r="G438" s="75" t="str">
        <f>IF('Engagement Log'!C443="","",'Engagement Log'!C443)</f>
        <v/>
      </c>
      <c r="H438" s="76" t="str">
        <f>IF('Engagement Log'!P443="","",'Engagement Log'!P443)</f>
        <v/>
      </c>
      <c r="I438" s="76" t="str">
        <f>IF('Engagement Log'!Q443="","",'Engagement Log'!Q443)</f>
        <v/>
      </c>
      <c r="J438" s="77" t="str">
        <f>IF('Engagement Log'!L443="","",'Engagement Log'!L443)</f>
        <v/>
      </c>
    </row>
    <row r="439" spans="1:10" x14ac:dyDescent="0.3">
      <c r="A439" s="68" t="str">
        <f>IF('Engagement Log'!O444="","",'Engagement Log'!O444)</f>
        <v/>
      </c>
      <c r="B439" s="69" t="str">
        <f ca="1">IF('Engagement Log'!O444="","",'Engagement Log'!O444-TODAY())</f>
        <v/>
      </c>
      <c r="C439" s="70" t="str">
        <f>IF('Engagement Log'!B444="","",'Engagement Log'!B444)</f>
        <v/>
      </c>
      <c r="D439" s="70" t="str">
        <f>IF('Engagement Log'!D444="","",'Engagement Log'!D444)</f>
        <v/>
      </c>
      <c r="E439" s="70" t="str">
        <f>IF('Engagement Log'!G444="","",'Engagement Log'!G444)</f>
        <v/>
      </c>
      <c r="F439" s="70" t="str">
        <f>IF('Engagement Log'!N444="","",'Engagement Log'!N444)</f>
        <v/>
      </c>
      <c r="G439" s="70" t="str">
        <f>IF('Engagement Log'!C444="","",'Engagement Log'!C444)</f>
        <v/>
      </c>
      <c r="H439" s="71" t="str">
        <f>IF('Engagement Log'!P444="","",'Engagement Log'!P444)</f>
        <v/>
      </c>
      <c r="I439" s="71" t="str">
        <f>IF('Engagement Log'!Q444="","",'Engagement Log'!Q444)</f>
        <v/>
      </c>
      <c r="J439" s="72" t="str">
        <f>IF('Engagement Log'!L444="","",'Engagement Log'!L444)</f>
        <v/>
      </c>
    </row>
    <row r="440" spans="1:10" x14ac:dyDescent="0.3">
      <c r="A440" s="73" t="str">
        <f>IF('Engagement Log'!O445="","",'Engagement Log'!O445)</f>
        <v/>
      </c>
      <c r="B440" s="74" t="str">
        <f ca="1">IF('Engagement Log'!O445="","",'Engagement Log'!O445-TODAY())</f>
        <v/>
      </c>
      <c r="C440" s="75" t="str">
        <f>IF('Engagement Log'!B445="","",'Engagement Log'!B445)</f>
        <v/>
      </c>
      <c r="D440" s="75" t="str">
        <f>IF('Engagement Log'!D445="","",'Engagement Log'!D445)</f>
        <v/>
      </c>
      <c r="E440" s="75" t="str">
        <f>IF('Engagement Log'!G445="","",'Engagement Log'!G445)</f>
        <v/>
      </c>
      <c r="F440" s="75" t="str">
        <f>IF('Engagement Log'!N445="","",'Engagement Log'!N445)</f>
        <v/>
      </c>
      <c r="G440" s="75" t="str">
        <f>IF('Engagement Log'!C445="","",'Engagement Log'!C445)</f>
        <v/>
      </c>
      <c r="H440" s="76" t="str">
        <f>IF('Engagement Log'!P445="","",'Engagement Log'!P445)</f>
        <v/>
      </c>
      <c r="I440" s="76" t="str">
        <f>IF('Engagement Log'!Q445="","",'Engagement Log'!Q445)</f>
        <v/>
      </c>
      <c r="J440" s="77" t="str">
        <f>IF('Engagement Log'!L445="","",'Engagement Log'!L445)</f>
        <v/>
      </c>
    </row>
    <row r="441" spans="1:10" x14ac:dyDescent="0.3">
      <c r="A441" s="68" t="str">
        <f>IF('Engagement Log'!O446="","",'Engagement Log'!O446)</f>
        <v/>
      </c>
      <c r="B441" s="69" t="str">
        <f ca="1">IF('Engagement Log'!O446="","",'Engagement Log'!O446-TODAY())</f>
        <v/>
      </c>
      <c r="C441" s="70" t="str">
        <f>IF('Engagement Log'!B446="","",'Engagement Log'!B446)</f>
        <v/>
      </c>
      <c r="D441" s="70" t="str">
        <f>IF('Engagement Log'!D446="","",'Engagement Log'!D446)</f>
        <v/>
      </c>
      <c r="E441" s="70" t="str">
        <f>IF('Engagement Log'!G446="","",'Engagement Log'!G446)</f>
        <v/>
      </c>
      <c r="F441" s="70" t="str">
        <f>IF('Engagement Log'!N446="","",'Engagement Log'!N446)</f>
        <v/>
      </c>
      <c r="G441" s="70" t="str">
        <f>IF('Engagement Log'!C446="","",'Engagement Log'!C446)</f>
        <v/>
      </c>
      <c r="H441" s="71" t="str">
        <f>IF('Engagement Log'!P446="","",'Engagement Log'!P446)</f>
        <v/>
      </c>
      <c r="I441" s="71" t="str">
        <f>IF('Engagement Log'!Q446="","",'Engagement Log'!Q446)</f>
        <v/>
      </c>
      <c r="J441" s="72" t="str">
        <f>IF('Engagement Log'!L446="","",'Engagement Log'!L446)</f>
        <v/>
      </c>
    </row>
    <row r="442" spans="1:10" x14ac:dyDescent="0.3">
      <c r="A442" s="73" t="str">
        <f>IF('Engagement Log'!O447="","",'Engagement Log'!O447)</f>
        <v/>
      </c>
      <c r="B442" s="74" t="str">
        <f ca="1">IF('Engagement Log'!O447="","",'Engagement Log'!O447-TODAY())</f>
        <v/>
      </c>
      <c r="C442" s="75" t="str">
        <f>IF('Engagement Log'!B447="","",'Engagement Log'!B447)</f>
        <v/>
      </c>
      <c r="D442" s="75" t="str">
        <f>IF('Engagement Log'!D447="","",'Engagement Log'!D447)</f>
        <v/>
      </c>
      <c r="E442" s="75" t="str">
        <f>IF('Engagement Log'!G447="","",'Engagement Log'!G447)</f>
        <v/>
      </c>
      <c r="F442" s="75" t="str">
        <f>IF('Engagement Log'!N447="","",'Engagement Log'!N447)</f>
        <v/>
      </c>
      <c r="G442" s="75" t="str">
        <f>IF('Engagement Log'!C447="","",'Engagement Log'!C447)</f>
        <v/>
      </c>
      <c r="H442" s="76" t="str">
        <f>IF('Engagement Log'!P447="","",'Engagement Log'!P447)</f>
        <v/>
      </c>
      <c r="I442" s="76" t="str">
        <f>IF('Engagement Log'!Q447="","",'Engagement Log'!Q447)</f>
        <v/>
      </c>
      <c r="J442" s="77" t="str">
        <f>IF('Engagement Log'!L447="","",'Engagement Log'!L447)</f>
        <v/>
      </c>
    </row>
    <row r="443" spans="1:10" x14ac:dyDescent="0.3">
      <c r="A443" s="68" t="str">
        <f>IF('Engagement Log'!O448="","",'Engagement Log'!O448)</f>
        <v/>
      </c>
      <c r="B443" s="69" t="str">
        <f ca="1">IF('Engagement Log'!O448="","",'Engagement Log'!O448-TODAY())</f>
        <v/>
      </c>
      <c r="C443" s="70" t="str">
        <f>IF('Engagement Log'!B448="","",'Engagement Log'!B448)</f>
        <v/>
      </c>
      <c r="D443" s="70" t="str">
        <f>IF('Engagement Log'!D448="","",'Engagement Log'!D448)</f>
        <v/>
      </c>
      <c r="E443" s="70" t="str">
        <f>IF('Engagement Log'!G448="","",'Engagement Log'!G448)</f>
        <v/>
      </c>
      <c r="F443" s="70" t="str">
        <f>IF('Engagement Log'!N448="","",'Engagement Log'!N448)</f>
        <v/>
      </c>
      <c r="G443" s="70" t="str">
        <f>IF('Engagement Log'!C448="","",'Engagement Log'!C448)</f>
        <v/>
      </c>
      <c r="H443" s="71" t="str">
        <f>IF('Engagement Log'!P448="","",'Engagement Log'!P448)</f>
        <v/>
      </c>
      <c r="I443" s="71" t="str">
        <f>IF('Engagement Log'!Q448="","",'Engagement Log'!Q448)</f>
        <v/>
      </c>
      <c r="J443" s="72" t="str">
        <f>IF('Engagement Log'!L448="","",'Engagement Log'!L448)</f>
        <v/>
      </c>
    </row>
    <row r="444" spans="1:10" x14ac:dyDescent="0.3">
      <c r="A444" s="73" t="str">
        <f>IF('Engagement Log'!O449="","",'Engagement Log'!O449)</f>
        <v/>
      </c>
      <c r="B444" s="74" t="str">
        <f ca="1">IF('Engagement Log'!O449="","",'Engagement Log'!O449-TODAY())</f>
        <v/>
      </c>
      <c r="C444" s="75" t="str">
        <f>IF('Engagement Log'!B449="","",'Engagement Log'!B449)</f>
        <v/>
      </c>
      <c r="D444" s="75" t="str">
        <f>IF('Engagement Log'!D449="","",'Engagement Log'!D449)</f>
        <v/>
      </c>
      <c r="E444" s="75" t="str">
        <f>IF('Engagement Log'!G449="","",'Engagement Log'!G449)</f>
        <v/>
      </c>
      <c r="F444" s="75" t="str">
        <f>IF('Engagement Log'!N449="","",'Engagement Log'!N449)</f>
        <v/>
      </c>
      <c r="G444" s="75" t="str">
        <f>IF('Engagement Log'!C449="","",'Engagement Log'!C449)</f>
        <v/>
      </c>
      <c r="H444" s="76" t="str">
        <f>IF('Engagement Log'!P449="","",'Engagement Log'!P449)</f>
        <v/>
      </c>
      <c r="I444" s="76" t="str">
        <f>IF('Engagement Log'!Q449="","",'Engagement Log'!Q449)</f>
        <v/>
      </c>
      <c r="J444" s="77" t="str">
        <f>IF('Engagement Log'!L449="","",'Engagement Log'!L449)</f>
        <v/>
      </c>
    </row>
    <row r="445" spans="1:10" x14ac:dyDescent="0.3">
      <c r="A445" s="68" t="str">
        <f>IF('Engagement Log'!O450="","",'Engagement Log'!O450)</f>
        <v/>
      </c>
      <c r="B445" s="69" t="str">
        <f ca="1">IF('Engagement Log'!O450="","",'Engagement Log'!O450-TODAY())</f>
        <v/>
      </c>
      <c r="C445" s="70" t="str">
        <f>IF('Engagement Log'!B450="","",'Engagement Log'!B450)</f>
        <v/>
      </c>
      <c r="D445" s="70" t="str">
        <f>IF('Engagement Log'!D450="","",'Engagement Log'!D450)</f>
        <v/>
      </c>
      <c r="E445" s="70" t="str">
        <f>IF('Engagement Log'!G450="","",'Engagement Log'!G450)</f>
        <v/>
      </c>
      <c r="F445" s="70" t="str">
        <f>IF('Engagement Log'!N450="","",'Engagement Log'!N450)</f>
        <v/>
      </c>
      <c r="G445" s="70" t="str">
        <f>IF('Engagement Log'!C450="","",'Engagement Log'!C450)</f>
        <v/>
      </c>
      <c r="H445" s="71" t="str">
        <f>IF('Engagement Log'!P450="","",'Engagement Log'!P450)</f>
        <v/>
      </c>
      <c r="I445" s="71" t="str">
        <f>IF('Engagement Log'!Q450="","",'Engagement Log'!Q450)</f>
        <v/>
      </c>
      <c r="J445" s="72" t="str">
        <f>IF('Engagement Log'!L450="","",'Engagement Log'!L450)</f>
        <v/>
      </c>
    </row>
    <row r="446" spans="1:10" x14ac:dyDescent="0.3">
      <c r="A446" s="73" t="str">
        <f>IF('Engagement Log'!O451="","",'Engagement Log'!O451)</f>
        <v/>
      </c>
      <c r="B446" s="74" t="str">
        <f ca="1">IF('Engagement Log'!O451="","",'Engagement Log'!O451-TODAY())</f>
        <v/>
      </c>
      <c r="C446" s="75" t="str">
        <f>IF('Engagement Log'!B451="","",'Engagement Log'!B451)</f>
        <v/>
      </c>
      <c r="D446" s="75" t="str">
        <f>IF('Engagement Log'!D451="","",'Engagement Log'!D451)</f>
        <v/>
      </c>
      <c r="E446" s="75" t="str">
        <f>IF('Engagement Log'!G451="","",'Engagement Log'!G451)</f>
        <v/>
      </c>
      <c r="F446" s="75" t="str">
        <f>IF('Engagement Log'!N451="","",'Engagement Log'!N451)</f>
        <v/>
      </c>
      <c r="G446" s="75" t="str">
        <f>IF('Engagement Log'!C451="","",'Engagement Log'!C451)</f>
        <v/>
      </c>
      <c r="H446" s="76" t="str">
        <f>IF('Engagement Log'!P451="","",'Engagement Log'!P451)</f>
        <v/>
      </c>
      <c r="I446" s="76" t="str">
        <f>IF('Engagement Log'!Q451="","",'Engagement Log'!Q451)</f>
        <v/>
      </c>
      <c r="J446" s="77" t="str">
        <f>IF('Engagement Log'!L451="","",'Engagement Log'!L451)</f>
        <v/>
      </c>
    </row>
    <row r="447" spans="1:10" x14ac:dyDescent="0.3">
      <c r="A447" s="68" t="str">
        <f>IF('Engagement Log'!O452="","",'Engagement Log'!O452)</f>
        <v/>
      </c>
      <c r="B447" s="69" t="str">
        <f ca="1">IF('Engagement Log'!O452="","",'Engagement Log'!O452-TODAY())</f>
        <v/>
      </c>
      <c r="C447" s="70" t="str">
        <f>IF('Engagement Log'!B452="","",'Engagement Log'!B452)</f>
        <v/>
      </c>
      <c r="D447" s="70" t="str">
        <f>IF('Engagement Log'!D452="","",'Engagement Log'!D452)</f>
        <v/>
      </c>
      <c r="E447" s="70" t="str">
        <f>IF('Engagement Log'!G452="","",'Engagement Log'!G452)</f>
        <v/>
      </c>
      <c r="F447" s="70" t="str">
        <f>IF('Engagement Log'!N452="","",'Engagement Log'!N452)</f>
        <v/>
      </c>
      <c r="G447" s="70" t="str">
        <f>IF('Engagement Log'!C452="","",'Engagement Log'!C452)</f>
        <v/>
      </c>
      <c r="H447" s="71" t="str">
        <f>IF('Engagement Log'!P452="","",'Engagement Log'!P452)</f>
        <v/>
      </c>
      <c r="I447" s="71" t="str">
        <f>IF('Engagement Log'!Q452="","",'Engagement Log'!Q452)</f>
        <v/>
      </c>
      <c r="J447" s="72" t="str">
        <f>IF('Engagement Log'!L452="","",'Engagement Log'!L452)</f>
        <v/>
      </c>
    </row>
    <row r="448" spans="1:10" x14ac:dyDescent="0.3">
      <c r="A448" s="73" t="str">
        <f>IF('Engagement Log'!O453="","",'Engagement Log'!O453)</f>
        <v/>
      </c>
      <c r="B448" s="74" t="str">
        <f ca="1">IF('Engagement Log'!O453="","",'Engagement Log'!O453-TODAY())</f>
        <v/>
      </c>
      <c r="C448" s="75" t="str">
        <f>IF('Engagement Log'!B453="","",'Engagement Log'!B453)</f>
        <v/>
      </c>
      <c r="D448" s="75" t="str">
        <f>IF('Engagement Log'!D453="","",'Engagement Log'!D453)</f>
        <v/>
      </c>
      <c r="E448" s="75" t="str">
        <f>IF('Engagement Log'!G453="","",'Engagement Log'!G453)</f>
        <v/>
      </c>
      <c r="F448" s="75" t="str">
        <f>IF('Engagement Log'!N453="","",'Engagement Log'!N453)</f>
        <v/>
      </c>
      <c r="G448" s="75" t="str">
        <f>IF('Engagement Log'!C453="","",'Engagement Log'!C453)</f>
        <v/>
      </c>
      <c r="H448" s="76" t="str">
        <f>IF('Engagement Log'!P453="","",'Engagement Log'!P453)</f>
        <v/>
      </c>
      <c r="I448" s="76" t="str">
        <f>IF('Engagement Log'!Q453="","",'Engagement Log'!Q453)</f>
        <v/>
      </c>
      <c r="J448" s="77" t="str">
        <f>IF('Engagement Log'!L453="","",'Engagement Log'!L453)</f>
        <v/>
      </c>
    </row>
    <row r="449" spans="1:10" x14ac:dyDescent="0.3">
      <c r="A449" s="68" t="str">
        <f>IF('Engagement Log'!O454="","",'Engagement Log'!O454)</f>
        <v/>
      </c>
      <c r="B449" s="69" t="str">
        <f ca="1">IF('Engagement Log'!O454="","",'Engagement Log'!O454-TODAY())</f>
        <v/>
      </c>
      <c r="C449" s="70" t="str">
        <f>IF('Engagement Log'!B454="","",'Engagement Log'!B454)</f>
        <v/>
      </c>
      <c r="D449" s="70" t="str">
        <f>IF('Engagement Log'!D454="","",'Engagement Log'!D454)</f>
        <v/>
      </c>
      <c r="E449" s="70" t="str">
        <f>IF('Engagement Log'!G454="","",'Engagement Log'!G454)</f>
        <v/>
      </c>
      <c r="F449" s="70" t="str">
        <f>IF('Engagement Log'!N454="","",'Engagement Log'!N454)</f>
        <v/>
      </c>
      <c r="G449" s="70" t="str">
        <f>IF('Engagement Log'!C454="","",'Engagement Log'!C454)</f>
        <v/>
      </c>
      <c r="H449" s="71" t="str">
        <f>IF('Engagement Log'!P454="","",'Engagement Log'!P454)</f>
        <v/>
      </c>
      <c r="I449" s="71" t="str">
        <f>IF('Engagement Log'!Q454="","",'Engagement Log'!Q454)</f>
        <v/>
      </c>
      <c r="J449" s="72" t="str">
        <f>IF('Engagement Log'!L454="","",'Engagement Log'!L454)</f>
        <v/>
      </c>
    </row>
    <row r="450" spans="1:10" x14ac:dyDescent="0.3">
      <c r="A450" s="73" t="str">
        <f>IF('Engagement Log'!O455="","",'Engagement Log'!O455)</f>
        <v/>
      </c>
      <c r="B450" s="74" t="str">
        <f ca="1">IF('Engagement Log'!O455="","",'Engagement Log'!O455-TODAY())</f>
        <v/>
      </c>
      <c r="C450" s="75" t="str">
        <f>IF('Engagement Log'!B455="","",'Engagement Log'!B455)</f>
        <v/>
      </c>
      <c r="D450" s="75" t="str">
        <f>IF('Engagement Log'!D455="","",'Engagement Log'!D455)</f>
        <v/>
      </c>
      <c r="E450" s="75" t="str">
        <f>IF('Engagement Log'!G455="","",'Engagement Log'!G455)</f>
        <v/>
      </c>
      <c r="F450" s="75" t="str">
        <f>IF('Engagement Log'!N455="","",'Engagement Log'!N455)</f>
        <v/>
      </c>
      <c r="G450" s="75" t="str">
        <f>IF('Engagement Log'!C455="","",'Engagement Log'!C455)</f>
        <v/>
      </c>
      <c r="H450" s="76" t="str">
        <f>IF('Engagement Log'!P455="","",'Engagement Log'!P455)</f>
        <v/>
      </c>
      <c r="I450" s="76" t="str">
        <f>IF('Engagement Log'!Q455="","",'Engagement Log'!Q455)</f>
        <v/>
      </c>
      <c r="J450" s="77" t="str">
        <f>IF('Engagement Log'!L455="","",'Engagement Log'!L455)</f>
        <v/>
      </c>
    </row>
    <row r="451" spans="1:10" x14ac:dyDescent="0.3">
      <c r="A451" s="68" t="str">
        <f>IF('Engagement Log'!O456="","",'Engagement Log'!O456)</f>
        <v/>
      </c>
      <c r="B451" s="69" t="str">
        <f ca="1">IF('Engagement Log'!O456="","",'Engagement Log'!O456-TODAY())</f>
        <v/>
      </c>
      <c r="C451" s="70" t="str">
        <f>IF('Engagement Log'!B456="","",'Engagement Log'!B456)</f>
        <v/>
      </c>
      <c r="D451" s="70" t="str">
        <f>IF('Engagement Log'!D456="","",'Engagement Log'!D456)</f>
        <v/>
      </c>
      <c r="E451" s="70" t="str">
        <f>IF('Engagement Log'!G456="","",'Engagement Log'!G456)</f>
        <v/>
      </c>
      <c r="F451" s="70" t="str">
        <f>IF('Engagement Log'!N456="","",'Engagement Log'!N456)</f>
        <v/>
      </c>
      <c r="G451" s="70" t="str">
        <f>IF('Engagement Log'!C456="","",'Engagement Log'!C456)</f>
        <v/>
      </c>
      <c r="H451" s="71" t="str">
        <f>IF('Engagement Log'!P456="","",'Engagement Log'!P456)</f>
        <v/>
      </c>
      <c r="I451" s="71" t="str">
        <f>IF('Engagement Log'!Q456="","",'Engagement Log'!Q456)</f>
        <v/>
      </c>
      <c r="J451" s="72" t="str">
        <f>IF('Engagement Log'!L456="","",'Engagement Log'!L456)</f>
        <v/>
      </c>
    </row>
    <row r="452" spans="1:10" x14ac:dyDescent="0.3">
      <c r="A452" s="73" t="str">
        <f>IF('Engagement Log'!O457="","",'Engagement Log'!O457)</f>
        <v/>
      </c>
      <c r="B452" s="74" t="str">
        <f ca="1">IF('Engagement Log'!O457="","",'Engagement Log'!O457-TODAY())</f>
        <v/>
      </c>
      <c r="C452" s="75" t="str">
        <f>IF('Engagement Log'!B457="","",'Engagement Log'!B457)</f>
        <v/>
      </c>
      <c r="D452" s="75" t="str">
        <f>IF('Engagement Log'!D457="","",'Engagement Log'!D457)</f>
        <v/>
      </c>
      <c r="E452" s="75" t="str">
        <f>IF('Engagement Log'!G457="","",'Engagement Log'!G457)</f>
        <v/>
      </c>
      <c r="F452" s="75" t="str">
        <f>IF('Engagement Log'!N457="","",'Engagement Log'!N457)</f>
        <v/>
      </c>
      <c r="G452" s="75" t="str">
        <f>IF('Engagement Log'!C457="","",'Engagement Log'!C457)</f>
        <v/>
      </c>
      <c r="H452" s="76" t="str">
        <f>IF('Engagement Log'!P457="","",'Engagement Log'!P457)</f>
        <v/>
      </c>
      <c r="I452" s="76" t="str">
        <f>IF('Engagement Log'!Q457="","",'Engagement Log'!Q457)</f>
        <v/>
      </c>
      <c r="J452" s="77" t="str">
        <f>IF('Engagement Log'!L457="","",'Engagement Log'!L457)</f>
        <v/>
      </c>
    </row>
    <row r="453" spans="1:10" x14ac:dyDescent="0.3">
      <c r="A453" s="68" t="str">
        <f>IF('Engagement Log'!O458="","",'Engagement Log'!O458)</f>
        <v/>
      </c>
      <c r="B453" s="69" t="str">
        <f ca="1">IF('Engagement Log'!O458="","",'Engagement Log'!O458-TODAY())</f>
        <v/>
      </c>
      <c r="C453" s="70" t="str">
        <f>IF('Engagement Log'!B458="","",'Engagement Log'!B458)</f>
        <v/>
      </c>
      <c r="D453" s="70" t="str">
        <f>IF('Engagement Log'!D458="","",'Engagement Log'!D458)</f>
        <v/>
      </c>
      <c r="E453" s="70" t="str">
        <f>IF('Engagement Log'!G458="","",'Engagement Log'!G458)</f>
        <v/>
      </c>
      <c r="F453" s="70" t="str">
        <f>IF('Engagement Log'!N458="","",'Engagement Log'!N458)</f>
        <v/>
      </c>
      <c r="G453" s="70" t="str">
        <f>IF('Engagement Log'!C458="","",'Engagement Log'!C458)</f>
        <v/>
      </c>
      <c r="H453" s="71" t="str">
        <f>IF('Engagement Log'!P458="","",'Engagement Log'!P458)</f>
        <v/>
      </c>
      <c r="I453" s="71" t="str">
        <f>IF('Engagement Log'!Q458="","",'Engagement Log'!Q458)</f>
        <v/>
      </c>
      <c r="J453" s="72" t="str">
        <f>IF('Engagement Log'!L458="","",'Engagement Log'!L458)</f>
        <v/>
      </c>
    </row>
    <row r="454" spans="1:10" x14ac:dyDescent="0.3">
      <c r="A454" s="73" t="str">
        <f>IF('Engagement Log'!O459="","",'Engagement Log'!O459)</f>
        <v/>
      </c>
      <c r="B454" s="74" t="str">
        <f ca="1">IF('Engagement Log'!O459="","",'Engagement Log'!O459-TODAY())</f>
        <v/>
      </c>
      <c r="C454" s="75" t="str">
        <f>IF('Engagement Log'!B459="","",'Engagement Log'!B459)</f>
        <v/>
      </c>
      <c r="D454" s="75" t="str">
        <f>IF('Engagement Log'!D459="","",'Engagement Log'!D459)</f>
        <v/>
      </c>
      <c r="E454" s="75" t="str">
        <f>IF('Engagement Log'!G459="","",'Engagement Log'!G459)</f>
        <v/>
      </c>
      <c r="F454" s="75" t="str">
        <f>IF('Engagement Log'!N459="","",'Engagement Log'!N459)</f>
        <v/>
      </c>
      <c r="G454" s="75" t="str">
        <f>IF('Engagement Log'!C459="","",'Engagement Log'!C459)</f>
        <v/>
      </c>
      <c r="H454" s="76" t="str">
        <f>IF('Engagement Log'!P459="","",'Engagement Log'!P459)</f>
        <v/>
      </c>
      <c r="I454" s="76" t="str">
        <f>IF('Engagement Log'!Q459="","",'Engagement Log'!Q459)</f>
        <v/>
      </c>
      <c r="J454" s="77" t="str">
        <f>IF('Engagement Log'!L459="","",'Engagement Log'!L459)</f>
        <v/>
      </c>
    </row>
    <row r="455" spans="1:10" x14ac:dyDescent="0.3">
      <c r="A455" s="68" t="str">
        <f>IF('Engagement Log'!O460="","",'Engagement Log'!O460)</f>
        <v/>
      </c>
      <c r="B455" s="69" t="str">
        <f ca="1">IF('Engagement Log'!O460="","",'Engagement Log'!O460-TODAY())</f>
        <v/>
      </c>
      <c r="C455" s="70" t="str">
        <f>IF('Engagement Log'!B460="","",'Engagement Log'!B460)</f>
        <v/>
      </c>
      <c r="D455" s="70" t="str">
        <f>IF('Engagement Log'!D460="","",'Engagement Log'!D460)</f>
        <v/>
      </c>
      <c r="E455" s="70" t="str">
        <f>IF('Engagement Log'!G460="","",'Engagement Log'!G460)</f>
        <v/>
      </c>
      <c r="F455" s="70" t="str">
        <f>IF('Engagement Log'!N460="","",'Engagement Log'!N460)</f>
        <v/>
      </c>
      <c r="G455" s="70" t="str">
        <f>IF('Engagement Log'!C460="","",'Engagement Log'!C460)</f>
        <v/>
      </c>
      <c r="H455" s="71" t="str">
        <f>IF('Engagement Log'!P460="","",'Engagement Log'!P460)</f>
        <v/>
      </c>
      <c r="I455" s="71" t="str">
        <f>IF('Engagement Log'!Q460="","",'Engagement Log'!Q460)</f>
        <v/>
      </c>
      <c r="J455" s="72" t="str">
        <f>IF('Engagement Log'!L460="","",'Engagement Log'!L460)</f>
        <v/>
      </c>
    </row>
    <row r="456" spans="1:10" x14ac:dyDescent="0.3">
      <c r="A456" s="73" t="str">
        <f>IF('Engagement Log'!O461="","",'Engagement Log'!O461)</f>
        <v/>
      </c>
      <c r="B456" s="74" t="str">
        <f ca="1">IF('Engagement Log'!O461="","",'Engagement Log'!O461-TODAY())</f>
        <v/>
      </c>
      <c r="C456" s="75" t="str">
        <f>IF('Engagement Log'!B461="","",'Engagement Log'!B461)</f>
        <v/>
      </c>
      <c r="D456" s="75" t="str">
        <f>IF('Engagement Log'!D461="","",'Engagement Log'!D461)</f>
        <v/>
      </c>
      <c r="E456" s="75" t="str">
        <f>IF('Engagement Log'!G461="","",'Engagement Log'!G461)</f>
        <v/>
      </c>
      <c r="F456" s="75" t="str">
        <f>IF('Engagement Log'!N461="","",'Engagement Log'!N461)</f>
        <v/>
      </c>
      <c r="G456" s="75" t="str">
        <f>IF('Engagement Log'!C461="","",'Engagement Log'!C461)</f>
        <v/>
      </c>
      <c r="H456" s="76" t="str">
        <f>IF('Engagement Log'!P461="","",'Engagement Log'!P461)</f>
        <v/>
      </c>
      <c r="I456" s="76" t="str">
        <f>IF('Engagement Log'!Q461="","",'Engagement Log'!Q461)</f>
        <v/>
      </c>
      <c r="J456" s="77" t="str">
        <f>IF('Engagement Log'!L461="","",'Engagement Log'!L461)</f>
        <v/>
      </c>
    </row>
    <row r="457" spans="1:10" x14ac:dyDescent="0.3">
      <c r="A457" s="68" t="str">
        <f>IF('Engagement Log'!O462="","",'Engagement Log'!O462)</f>
        <v/>
      </c>
      <c r="B457" s="69" t="str">
        <f ca="1">IF('Engagement Log'!O462="","",'Engagement Log'!O462-TODAY())</f>
        <v/>
      </c>
      <c r="C457" s="70" t="str">
        <f>IF('Engagement Log'!B462="","",'Engagement Log'!B462)</f>
        <v/>
      </c>
      <c r="D457" s="70" t="str">
        <f>IF('Engagement Log'!D462="","",'Engagement Log'!D462)</f>
        <v/>
      </c>
      <c r="E457" s="70" t="str">
        <f>IF('Engagement Log'!G462="","",'Engagement Log'!G462)</f>
        <v/>
      </c>
      <c r="F457" s="70" t="str">
        <f>IF('Engagement Log'!N462="","",'Engagement Log'!N462)</f>
        <v/>
      </c>
      <c r="G457" s="70" t="str">
        <f>IF('Engagement Log'!C462="","",'Engagement Log'!C462)</f>
        <v/>
      </c>
      <c r="H457" s="71" t="str">
        <f>IF('Engagement Log'!P462="","",'Engagement Log'!P462)</f>
        <v/>
      </c>
      <c r="I457" s="71" t="str">
        <f>IF('Engagement Log'!Q462="","",'Engagement Log'!Q462)</f>
        <v/>
      </c>
      <c r="J457" s="72" t="str">
        <f>IF('Engagement Log'!L462="","",'Engagement Log'!L462)</f>
        <v/>
      </c>
    </row>
    <row r="458" spans="1:10" x14ac:dyDescent="0.3">
      <c r="A458" s="73" t="str">
        <f>IF('Engagement Log'!O463="","",'Engagement Log'!O463)</f>
        <v/>
      </c>
      <c r="B458" s="74" t="str">
        <f ca="1">IF('Engagement Log'!O463="","",'Engagement Log'!O463-TODAY())</f>
        <v/>
      </c>
      <c r="C458" s="75" t="str">
        <f>IF('Engagement Log'!B463="","",'Engagement Log'!B463)</f>
        <v/>
      </c>
      <c r="D458" s="75" t="str">
        <f>IF('Engagement Log'!D463="","",'Engagement Log'!D463)</f>
        <v/>
      </c>
      <c r="E458" s="75" t="str">
        <f>IF('Engagement Log'!G463="","",'Engagement Log'!G463)</f>
        <v/>
      </c>
      <c r="F458" s="75" t="str">
        <f>IF('Engagement Log'!N463="","",'Engagement Log'!N463)</f>
        <v/>
      </c>
      <c r="G458" s="75" t="str">
        <f>IF('Engagement Log'!C463="","",'Engagement Log'!C463)</f>
        <v/>
      </c>
      <c r="H458" s="76" t="str">
        <f>IF('Engagement Log'!P463="","",'Engagement Log'!P463)</f>
        <v/>
      </c>
      <c r="I458" s="76" t="str">
        <f>IF('Engagement Log'!Q463="","",'Engagement Log'!Q463)</f>
        <v/>
      </c>
      <c r="J458" s="77" t="str">
        <f>IF('Engagement Log'!L463="","",'Engagement Log'!L463)</f>
        <v/>
      </c>
    </row>
    <row r="459" spans="1:10" x14ac:dyDescent="0.3">
      <c r="A459" s="68" t="str">
        <f>IF('Engagement Log'!O464="","",'Engagement Log'!O464)</f>
        <v/>
      </c>
      <c r="B459" s="69" t="str">
        <f ca="1">IF('Engagement Log'!O464="","",'Engagement Log'!O464-TODAY())</f>
        <v/>
      </c>
      <c r="C459" s="70" t="str">
        <f>IF('Engagement Log'!B464="","",'Engagement Log'!B464)</f>
        <v/>
      </c>
      <c r="D459" s="70" t="str">
        <f>IF('Engagement Log'!D464="","",'Engagement Log'!D464)</f>
        <v/>
      </c>
      <c r="E459" s="70" t="str">
        <f>IF('Engagement Log'!G464="","",'Engagement Log'!G464)</f>
        <v/>
      </c>
      <c r="F459" s="70" t="str">
        <f>IF('Engagement Log'!N464="","",'Engagement Log'!N464)</f>
        <v/>
      </c>
      <c r="G459" s="70" t="str">
        <f>IF('Engagement Log'!C464="","",'Engagement Log'!C464)</f>
        <v/>
      </c>
      <c r="H459" s="71" t="str">
        <f>IF('Engagement Log'!P464="","",'Engagement Log'!P464)</f>
        <v/>
      </c>
      <c r="I459" s="71" t="str">
        <f>IF('Engagement Log'!Q464="","",'Engagement Log'!Q464)</f>
        <v/>
      </c>
      <c r="J459" s="72" t="str">
        <f>IF('Engagement Log'!L464="","",'Engagement Log'!L464)</f>
        <v/>
      </c>
    </row>
    <row r="460" spans="1:10" x14ac:dyDescent="0.3">
      <c r="A460" s="73" t="str">
        <f>IF('Engagement Log'!O465="","",'Engagement Log'!O465)</f>
        <v/>
      </c>
      <c r="B460" s="74" t="str">
        <f ca="1">IF('Engagement Log'!O465="","",'Engagement Log'!O465-TODAY())</f>
        <v/>
      </c>
      <c r="C460" s="75" t="str">
        <f>IF('Engagement Log'!B465="","",'Engagement Log'!B465)</f>
        <v/>
      </c>
      <c r="D460" s="75" t="str">
        <f>IF('Engagement Log'!D465="","",'Engagement Log'!D465)</f>
        <v/>
      </c>
      <c r="E460" s="75" t="str">
        <f>IF('Engagement Log'!G465="","",'Engagement Log'!G465)</f>
        <v/>
      </c>
      <c r="F460" s="75" t="str">
        <f>IF('Engagement Log'!N465="","",'Engagement Log'!N465)</f>
        <v/>
      </c>
      <c r="G460" s="75" t="str">
        <f>IF('Engagement Log'!C465="","",'Engagement Log'!C465)</f>
        <v/>
      </c>
      <c r="H460" s="76" t="str">
        <f>IF('Engagement Log'!P465="","",'Engagement Log'!P465)</f>
        <v/>
      </c>
      <c r="I460" s="76" t="str">
        <f>IF('Engagement Log'!Q465="","",'Engagement Log'!Q465)</f>
        <v/>
      </c>
      <c r="J460" s="77" t="str">
        <f>IF('Engagement Log'!L465="","",'Engagement Log'!L465)</f>
        <v/>
      </c>
    </row>
    <row r="461" spans="1:10" x14ac:dyDescent="0.3">
      <c r="A461" s="68" t="str">
        <f>IF('Engagement Log'!O466="","",'Engagement Log'!O466)</f>
        <v/>
      </c>
      <c r="B461" s="69" t="str">
        <f ca="1">IF('Engagement Log'!O466="","",'Engagement Log'!O466-TODAY())</f>
        <v/>
      </c>
      <c r="C461" s="70" t="str">
        <f>IF('Engagement Log'!B466="","",'Engagement Log'!B466)</f>
        <v/>
      </c>
      <c r="D461" s="70" t="str">
        <f>IF('Engagement Log'!D466="","",'Engagement Log'!D466)</f>
        <v/>
      </c>
      <c r="E461" s="70" t="str">
        <f>IF('Engagement Log'!G466="","",'Engagement Log'!G466)</f>
        <v/>
      </c>
      <c r="F461" s="70" t="str">
        <f>IF('Engagement Log'!N466="","",'Engagement Log'!N466)</f>
        <v/>
      </c>
      <c r="G461" s="70" t="str">
        <f>IF('Engagement Log'!C466="","",'Engagement Log'!C466)</f>
        <v/>
      </c>
      <c r="H461" s="71" t="str">
        <f>IF('Engagement Log'!P466="","",'Engagement Log'!P466)</f>
        <v/>
      </c>
      <c r="I461" s="71" t="str">
        <f>IF('Engagement Log'!Q466="","",'Engagement Log'!Q466)</f>
        <v/>
      </c>
      <c r="J461" s="72" t="str">
        <f>IF('Engagement Log'!L466="","",'Engagement Log'!L466)</f>
        <v/>
      </c>
    </row>
    <row r="462" spans="1:10" x14ac:dyDescent="0.3">
      <c r="A462" s="73" t="str">
        <f>IF('Engagement Log'!O467="","",'Engagement Log'!O467)</f>
        <v/>
      </c>
      <c r="B462" s="74" t="str">
        <f ca="1">IF('Engagement Log'!O467="","",'Engagement Log'!O467-TODAY())</f>
        <v/>
      </c>
      <c r="C462" s="75" t="str">
        <f>IF('Engagement Log'!B467="","",'Engagement Log'!B467)</f>
        <v/>
      </c>
      <c r="D462" s="75" t="str">
        <f>IF('Engagement Log'!D467="","",'Engagement Log'!D467)</f>
        <v/>
      </c>
      <c r="E462" s="75" t="str">
        <f>IF('Engagement Log'!G467="","",'Engagement Log'!G467)</f>
        <v/>
      </c>
      <c r="F462" s="75" t="str">
        <f>IF('Engagement Log'!N467="","",'Engagement Log'!N467)</f>
        <v/>
      </c>
      <c r="G462" s="75" t="str">
        <f>IF('Engagement Log'!C467="","",'Engagement Log'!C467)</f>
        <v/>
      </c>
      <c r="H462" s="76" t="str">
        <f>IF('Engagement Log'!P467="","",'Engagement Log'!P467)</f>
        <v/>
      </c>
      <c r="I462" s="76" t="str">
        <f>IF('Engagement Log'!Q467="","",'Engagement Log'!Q467)</f>
        <v/>
      </c>
      <c r="J462" s="77" t="str">
        <f>IF('Engagement Log'!L467="","",'Engagement Log'!L467)</f>
        <v/>
      </c>
    </row>
    <row r="463" spans="1:10" x14ac:dyDescent="0.3">
      <c r="A463" s="68" t="str">
        <f>IF('Engagement Log'!O468="","",'Engagement Log'!O468)</f>
        <v/>
      </c>
      <c r="B463" s="69" t="str">
        <f ca="1">IF('Engagement Log'!O468="","",'Engagement Log'!O468-TODAY())</f>
        <v/>
      </c>
      <c r="C463" s="70" t="str">
        <f>IF('Engagement Log'!B468="","",'Engagement Log'!B468)</f>
        <v/>
      </c>
      <c r="D463" s="70" t="str">
        <f>IF('Engagement Log'!D468="","",'Engagement Log'!D468)</f>
        <v/>
      </c>
      <c r="E463" s="70" t="str">
        <f>IF('Engagement Log'!G468="","",'Engagement Log'!G468)</f>
        <v/>
      </c>
      <c r="F463" s="70" t="str">
        <f>IF('Engagement Log'!N468="","",'Engagement Log'!N468)</f>
        <v/>
      </c>
      <c r="G463" s="70" t="str">
        <f>IF('Engagement Log'!C468="","",'Engagement Log'!C468)</f>
        <v/>
      </c>
      <c r="H463" s="71" t="str">
        <f>IF('Engagement Log'!P468="","",'Engagement Log'!P468)</f>
        <v/>
      </c>
      <c r="I463" s="71" t="str">
        <f>IF('Engagement Log'!Q468="","",'Engagement Log'!Q468)</f>
        <v/>
      </c>
      <c r="J463" s="72" t="str">
        <f>IF('Engagement Log'!L468="","",'Engagement Log'!L468)</f>
        <v/>
      </c>
    </row>
    <row r="464" spans="1:10" x14ac:dyDescent="0.3">
      <c r="A464" s="73" t="str">
        <f>IF('Engagement Log'!O469="","",'Engagement Log'!O469)</f>
        <v/>
      </c>
      <c r="B464" s="74" t="str">
        <f ca="1">IF('Engagement Log'!O469="","",'Engagement Log'!O469-TODAY())</f>
        <v/>
      </c>
      <c r="C464" s="75" t="str">
        <f>IF('Engagement Log'!B469="","",'Engagement Log'!B469)</f>
        <v/>
      </c>
      <c r="D464" s="75" t="str">
        <f>IF('Engagement Log'!D469="","",'Engagement Log'!D469)</f>
        <v/>
      </c>
      <c r="E464" s="75" t="str">
        <f>IF('Engagement Log'!G469="","",'Engagement Log'!G469)</f>
        <v/>
      </c>
      <c r="F464" s="75" t="str">
        <f>IF('Engagement Log'!N469="","",'Engagement Log'!N469)</f>
        <v/>
      </c>
      <c r="G464" s="75" t="str">
        <f>IF('Engagement Log'!C469="","",'Engagement Log'!C469)</f>
        <v/>
      </c>
      <c r="H464" s="76" t="str">
        <f>IF('Engagement Log'!P469="","",'Engagement Log'!P469)</f>
        <v/>
      </c>
      <c r="I464" s="76" t="str">
        <f>IF('Engagement Log'!Q469="","",'Engagement Log'!Q469)</f>
        <v/>
      </c>
      <c r="J464" s="77" t="str">
        <f>IF('Engagement Log'!L469="","",'Engagement Log'!L469)</f>
        <v/>
      </c>
    </row>
    <row r="465" spans="1:10" x14ac:dyDescent="0.3">
      <c r="A465" s="68" t="str">
        <f>IF('Engagement Log'!O470="","",'Engagement Log'!O470)</f>
        <v/>
      </c>
      <c r="B465" s="69" t="str">
        <f ca="1">IF('Engagement Log'!O470="","",'Engagement Log'!O470-TODAY())</f>
        <v/>
      </c>
      <c r="C465" s="70" t="str">
        <f>IF('Engagement Log'!B470="","",'Engagement Log'!B470)</f>
        <v/>
      </c>
      <c r="D465" s="70" t="str">
        <f>IF('Engagement Log'!D470="","",'Engagement Log'!D470)</f>
        <v/>
      </c>
      <c r="E465" s="70" t="str">
        <f>IF('Engagement Log'!G470="","",'Engagement Log'!G470)</f>
        <v/>
      </c>
      <c r="F465" s="70" t="str">
        <f>IF('Engagement Log'!N470="","",'Engagement Log'!N470)</f>
        <v/>
      </c>
      <c r="G465" s="70" t="str">
        <f>IF('Engagement Log'!C470="","",'Engagement Log'!C470)</f>
        <v/>
      </c>
      <c r="H465" s="71" t="str">
        <f>IF('Engagement Log'!P470="","",'Engagement Log'!P470)</f>
        <v/>
      </c>
      <c r="I465" s="71" t="str">
        <f>IF('Engagement Log'!Q470="","",'Engagement Log'!Q470)</f>
        <v/>
      </c>
      <c r="J465" s="72" t="str">
        <f>IF('Engagement Log'!L470="","",'Engagement Log'!L470)</f>
        <v/>
      </c>
    </row>
    <row r="466" spans="1:10" x14ac:dyDescent="0.3">
      <c r="A466" s="73" t="str">
        <f>IF('Engagement Log'!O471="","",'Engagement Log'!O471)</f>
        <v/>
      </c>
      <c r="B466" s="74" t="str">
        <f ca="1">IF('Engagement Log'!O471="","",'Engagement Log'!O471-TODAY())</f>
        <v/>
      </c>
      <c r="C466" s="75" t="str">
        <f>IF('Engagement Log'!B471="","",'Engagement Log'!B471)</f>
        <v/>
      </c>
      <c r="D466" s="75" t="str">
        <f>IF('Engagement Log'!D471="","",'Engagement Log'!D471)</f>
        <v/>
      </c>
      <c r="E466" s="75" t="str">
        <f>IF('Engagement Log'!G471="","",'Engagement Log'!G471)</f>
        <v/>
      </c>
      <c r="F466" s="75" t="str">
        <f>IF('Engagement Log'!N471="","",'Engagement Log'!N471)</f>
        <v/>
      </c>
      <c r="G466" s="75" t="str">
        <f>IF('Engagement Log'!C471="","",'Engagement Log'!C471)</f>
        <v/>
      </c>
      <c r="H466" s="76" t="str">
        <f>IF('Engagement Log'!P471="","",'Engagement Log'!P471)</f>
        <v/>
      </c>
      <c r="I466" s="76" t="str">
        <f>IF('Engagement Log'!Q471="","",'Engagement Log'!Q471)</f>
        <v/>
      </c>
      <c r="J466" s="77" t="str">
        <f>IF('Engagement Log'!L471="","",'Engagement Log'!L471)</f>
        <v/>
      </c>
    </row>
    <row r="467" spans="1:10" x14ac:dyDescent="0.3">
      <c r="A467" s="68" t="str">
        <f>IF('Engagement Log'!O472="","",'Engagement Log'!O472)</f>
        <v/>
      </c>
      <c r="B467" s="69" t="str">
        <f ca="1">IF('Engagement Log'!O472="","",'Engagement Log'!O472-TODAY())</f>
        <v/>
      </c>
      <c r="C467" s="70" t="str">
        <f>IF('Engagement Log'!B472="","",'Engagement Log'!B472)</f>
        <v/>
      </c>
      <c r="D467" s="70" t="str">
        <f>IF('Engagement Log'!D472="","",'Engagement Log'!D472)</f>
        <v/>
      </c>
      <c r="E467" s="70" t="str">
        <f>IF('Engagement Log'!G472="","",'Engagement Log'!G472)</f>
        <v/>
      </c>
      <c r="F467" s="70" t="str">
        <f>IF('Engagement Log'!N472="","",'Engagement Log'!N472)</f>
        <v/>
      </c>
      <c r="G467" s="70" t="str">
        <f>IF('Engagement Log'!C472="","",'Engagement Log'!C472)</f>
        <v/>
      </c>
      <c r="H467" s="71" t="str">
        <f>IF('Engagement Log'!P472="","",'Engagement Log'!P472)</f>
        <v/>
      </c>
      <c r="I467" s="71" t="str">
        <f>IF('Engagement Log'!Q472="","",'Engagement Log'!Q472)</f>
        <v/>
      </c>
      <c r="J467" s="72" t="str">
        <f>IF('Engagement Log'!L472="","",'Engagement Log'!L472)</f>
        <v/>
      </c>
    </row>
    <row r="468" spans="1:10" x14ac:dyDescent="0.3">
      <c r="A468" s="73" t="str">
        <f>IF('Engagement Log'!O473="","",'Engagement Log'!O473)</f>
        <v/>
      </c>
      <c r="B468" s="74" t="str">
        <f ca="1">IF('Engagement Log'!O473="","",'Engagement Log'!O473-TODAY())</f>
        <v/>
      </c>
      <c r="C468" s="75" t="str">
        <f>IF('Engagement Log'!B473="","",'Engagement Log'!B473)</f>
        <v/>
      </c>
      <c r="D468" s="75" t="str">
        <f>IF('Engagement Log'!D473="","",'Engagement Log'!D473)</f>
        <v/>
      </c>
      <c r="E468" s="75" t="str">
        <f>IF('Engagement Log'!G473="","",'Engagement Log'!G473)</f>
        <v/>
      </c>
      <c r="F468" s="75" t="str">
        <f>IF('Engagement Log'!N473="","",'Engagement Log'!N473)</f>
        <v/>
      </c>
      <c r="G468" s="75" t="str">
        <f>IF('Engagement Log'!C473="","",'Engagement Log'!C473)</f>
        <v/>
      </c>
      <c r="H468" s="76" t="str">
        <f>IF('Engagement Log'!P473="","",'Engagement Log'!P473)</f>
        <v/>
      </c>
      <c r="I468" s="76" t="str">
        <f>IF('Engagement Log'!Q473="","",'Engagement Log'!Q473)</f>
        <v/>
      </c>
      <c r="J468" s="77" t="str">
        <f>IF('Engagement Log'!L473="","",'Engagement Log'!L473)</f>
        <v/>
      </c>
    </row>
    <row r="469" spans="1:10" x14ac:dyDescent="0.3">
      <c r="A469" s="68" t="str">
        <f>IF('Engagement Log'!O474="","",'Engagement Log'!O474)</f>
        <v/>
      </c>
      <c r="B469" s="69" t="str">
        <f ca="1">IF('Engagement Log'!O474="","",'Engagement Log'!O474-TODAY())</f>
        <v/>
      </c>
      <c r="C469" s="70" t="str">
        <f>IF('Engagement Log'!B474="","",'Engagement Log'!B474)</f>
        <v/>
      </c>
      <c r="D469" s="70" t="str">
        <f>IF('Engagement Log'!D474="","",'Engagement Log'!D474)</f>
        <v/>
      </c>
      <c r="E469" s="70" t="str">
        <f>IF('Engagement Log'!G474="","",'Engagement Log'!G474)</f>
        <v/>
      </c>
      <c r="F469" s="70" t="str">
        <f>IF('Engagement Log'!N474="","",'Engagement Log'!N474)</f>
        <v/>
      </c>
      <c r="G469" s="70" t="str">
        <f>IF('Engagement Log'!C474="","",'Engagement Log'!C474)</f>
        <v/>
      </c>
      <c r="H469" s="71" t="str">
        <f>IF('Engagement Log'!P474="","",'Engagement Log'!P474)</f>
        <v/>
      </c>
      <c r="I469" s="71" t="str">
        <f>IF('Engagement Log'!Q474="","",'Engagement Log'!Q474)</f>
        <v/>
      </c>
      <c r="J469" s="72" t="str">
        <f>IF('Engagement Log'!L474="","",'Engagement Log'!L474)</f>
        <v/>
      </c>
    </row>
    <row r="470" spans="1:10" x14ac:dyDescent="0.3">
      <c r="A470" s="73" t="str">
        <f>IF('Engagement Log'!O475="","",'Engagement Log'!O475)</f>
        <v/>
      </c>
      <c r="B470" s="74" t="str">
        <f ca="1">IF('Engagement Log'!O475="","",'Engagement Log'!O475-TODAY())</f>
        <v/>
      </c>
      <c r="C470" s="75" t="str">
        <f>IF('Engagement Log'!B475="","",'Engagement Log'!B475)</f>
        <v/>
      </c>
      <c r="D470" s="75" t="str">
        <f>IF('Engagement Log'!D475="","",'Engagement Log'!D475)</f>
        <v/>
      </c>
      <c r="E470" s="75" t="str">
        <f>IF('Engagement Log'!G475="","",'Engagement Log'!G475)</f>
        <v/>
      </c>
      <c r="F470" s="75" t="str">
        <f>IF('Engagement Log'!N475="","",'Engagement Log'!N475)</f>
        <v/>
      </c>
      <c r="G470" s="75" t="str">
        <f>IF('Engagement Log'!C475="","",'Engagement Log'!C475)</f>
        <v/>
      </c>
      <c r="H470" s="76" t="str">
        <f>IF('Engagement Log'!P475="","",'Engagement Log'!P475)</f>
        <v/>
      </c>
      <c r="I470" s="76" t="str">
        <f>IF('Engagement Log'!Q475="","",'Engagement Log'!Q475)</f>
        <v/>
      </c>
      <c r="J470" s="77" t="str">
        <f>IF('Engagement Log'!L475="","",'Engagement Log'!L475)</f>
        <v/>
      </c>
    </row>
    <row r="471" spans="1:10" x14ac:dyDescent="0.3">
      <c r="A471" s="68" t="str">
        <f>IF('Engagement Log'!O476="","",'Engagement Log'!O476)</f>
        <v/>
      </c>
      <c r="B471" s="69" t="str">
        <f ca="1">IF('Engagement Log'!O476="","",'Engagement Log'!O476-TODAY())</f>
        <v/>
      </c>
      <c r="C471" s="70" t="str">
        <f>IF('Engagement Log'!B476="","",'Engagement Log'!B476)</f>
        <v/>
      </c>
      <c r="D471" s="70" t="str">
        <f>IF('Engagement Log'!D476="","",'Engagement Log'!D476)</f>
        <v/>
      </c>
      <c r="E471" s="70" t="str">
        <f>IF('Engagement Log'!G476="","",'Engagement Log'!G476)</f>
        <v/>
      </c>
      <c r="F471" s="70" t="str">
        <f>IF('Engagement Log'!N476="","",'Engagement Log'!N476)</f>
        <v/>
      </c>
      <c r="G471" s="70" t="str">
        <f>IF('Engagement Log'!C476="","",'Engagement Log'!C476)</f>
        <v/>
      </c>
      <c r="H471" s="71" t="str">
        <f>IF('Engagement Log'!P476="","",'Engagement Log'!P476)</f>
        <v/>
      </c>
      <c r="I471" s="71" t="str">
        <f>IF('Engagement Log'!Q476="","",'Engagement Log'!Q476)</f>
        <v/>
      </c>
      <c r="J471" s="72" t="str">
        <f>IF('Engagement Log'!L476="","",'Engagement Log'!L476)</f>
        <v/>
      </c>
    </row>
    <row r="472" spans="1:10" x14ac:dyDescent="0.3">
      <c r="A472" s="73" t="str">
        <f>IF('Engagement Log'!O477="","",'Engagement Log'!O477)</f>
        <v/>
      </c>
      <c r="B472" s="74" t="str">
        <f ca="1">IF('Engagement Log'!O477="","",'Engagement Log'!O477-TODAY())</f>
        <v/>
      </c>
      <c r="C472" s="75" t="str">
        <f>IF('Engagement Log'!B477="","",'Engagement Log'!B477)</f>
        <v/>
      </c>
      <c r="D472" s="75" t="str">
        <f>IF('Engagement Log'!D477="","",'Engagement Log'!D477)</f>
        <v/>
      </c>
      <c r="E472" s="75" t="str">
        <f>IF('Engagement Log'!G477="","",'Engagement Log'!G477)</f>
        <v/>
      </c>
      <c r="F472" s="75" t="str">
        <f>IF('Engagement Log'!N477="","",'Engagement Log'!N477)</f>
        <v/>
      </c>
      <c r="G472" s="75" t="str">
        <f>IF('Engagement Log'!C477="","",'Engagement Log'!C477)</f>
        <v/>
      </c>
      <c r="H472" s="76" t="str">
        <f>IF('Engagement Log'!P477="","",'Engagement Log'!P477)</f>
        <v/>
      </c>
      <c r="I472" s="76" t="str">
        <f>IF('Engagement Log'!Q477="","",'Engagement Log'!Q477)</f>
        <v/>
      </c>
      <c r="J472" s="77" t="str">
        <f>IF('Engagement Log'!L477="","",'Engagement Log'!L477)</f>
        <v/>
      </c>
    </row>
    <row r="473" spans="1:10" x14ac:dyDescent="0.3">
      <c r="A473" s="68" t="str">
        <f>IF('Engagement Log'!O478="","",'Engagement Log'!O478)</f>
        <v/>
      </c>
      <c r="B473" s="69" t="str">
        <f ca="1">IF('Engagement Log'!O478="","",'Engagement Log'!O478-TODAY())</f>
        <v/>
      </c>
      <c r="C473" s="70" t="str">
        <f>IF('Engagement Log'!B478="","",'Engagement Log'!B478)</f>
        <v/>
      </c>
      <c r="D473" s="70" t="str">
        <f>IF('Engagement Log'!D478="","",'Engagement Log'!D478)</f>
        <v/>
      </c>
      <c r="E473" s="70" t="str">
        <f>IF('Engagement Log'!G478="","",'Engagement Log'!G478)</f>
        <v/>
      </c>
      <c r="F473" s="70" t="str">
        <f>IF('Engagement Log'!N478="","",'Engagement Log'!N478)</f>
        <v/>
      </c>
      <c r="G473" s="70" t="str">
        <f>IF('Engagement Log'!C478="","",'Engagement Log'!C478)</f>
        <v/>
      </c>
      <c r="H473" s="71" t="str">
        <f>IF('Engagement Log'!P478="","",'Engagement Log'!P478)</f>
        <v/>
      </c>
      <c r="I473" s="71" t="str">
        <f>IF('Engagement Log'!Q478="","",'Engagement Log'!Q478)</f>
        <v/>
      </c>
      <c r="J473" s="72" t="str">
        <f>IF('Engagement Log'!L478="","",'Engagement Log'!L478)</f>
        <v/>
      </c>
    </row>
    <row r="474" spans="1:10" x14ac:dyDescent="0.3">
      <c r="A474" s="73" t="str">
        <f>IF('Engagement Log'!O479="","",'Engagement Log'!O479)</f>
        <v/>
      </c>
      <c r="B474" s="74" t="str">
        <f ca="1">IF('Engagement Log'!O479="","",'Engagement Log'!O479-TODAY())</f>
        <v/>
      </c>
      <c r="C474" s="75" t="str">
        <f>IF('Engagement Log'!B479="","",'Engagement Log'!B479)</f>
        <v/>
      </c>
      <c r="D474" s="75" t="str">
        <f>IF('Engagement Log'!D479="","",'Engagement Log'!D479)</f>
        <v/>
      </c>
      <c r="E474" s="75" t="str">
        <f>IF('Engagement Log'!G479="","",'Engagement Log'!G479)</f>
        <v/>
      </c>
      <c r="F474" s="75" t="str">
        <f>IF('Engagement Log'!N479="","",'Engagement Log'!N479)</f>
        <v/>
      </c>
      <c r="G474" s="75" t="str">
        <f>IF('Engagement Log'!C479="","",'Engagement Log'!C479)</f>
        <v/>
      </c>
      <c r="H474" s="76" t="str">
        <f>IF('Engagement Log'!P479="","",'Engagement Log'!P479)</f>
        <v/>
      </c>
      <c r="I474" s="76" t="str">
        <f>IF('Engagement Log'!Q479="","",'Engagement Log'!Q479)</f>
        <v/>
      </c>
      <c r="J474" s="77" t="str">
        <f>IF('Engagement Log'!L479="","",'Engagement Log'!L479)</f>
        <v/>
      </c>
    </row>
    <row r="475" spans="1:10" x14ac:dyDescent="0.3">
      <c r="A475" s="68" t="str">
        <f>IF('Engagement Log'!O480="","",'Engagement Log'!O480)</f>
        <v/>
      </c>
      <c r="B475" s="69" t="str">
        <f ca="1">IF('Engagement Log'!O480="","",'Engagement Log'!O480-TODAY())</f>
        <v/>
      </c>
      <c r="C475" s="70" t="str">
        <f>IF('Engagement Log'!B480="","",'Engagement Log'!B480)</f>
        <v/>
      </c>
      <c r="D475" s="70" t="str">
        <f>IF('Engagement Log'!D480="","",'Engagement Log'!D480)</f>
        <v/>
      </c>
      <c r="E475" s="70" t="str">
        <f>IF('Engagement Log'!G480="","",'Engagement Log'!G480)</f>
        <v/>
      </c>
      <c r="F475" s="70" t="str">
        <f>IF('Engagement Log'!N480="","",'Engagement Log'!N480)</f>
        <v/>
      </c>
      <c r="G475" s="70" t="str">
        <f>IF('Engagement Log'!C480="","",'Engagement Log'!C480)</f>
        <v/>
      </c>
      <c r="H475" s="71" t="str">
        <f>IF('Engagement Log'!P480="","",'Engagement Log'!P480)</f>
        <v/>
      </c>
      <c r="I475" s="71" t="str">
        <f>IF('Engagement Log'!Q480="","",'Engagement Log'!Q480)</f>
        <v/>
      </c>
      <c r="J475" s="72" t="str">
        <f>IF('Engagement Log'!L480="","",'Engagement Log'!L480)</f>
        <v/>
      </c>
    </row>
    <row r="476" spans="1:10" x14ac:dyDescent="0.3">
      <c r="A476" s="73" t="str">
        <f>IF('Engagement Log'!O481="","",'Engagement Log'!O481)</f>
        <v/>
      </c>
      <c r="B476" s="74" t="str">
        <f ca="1">IF('Engagement Log'!O481="","",'Engagement Log'!O481-TODAY())</f>
        <v/>
      </c>
      <c r="C476" s="75" t="str">
        <f>IF('Engagement Log'!B481="","",'Engagement Log'!B481)</f>
        <v/>
      </c>
      <c r="D476" s="75" t="str">
        <f>IF('Engagement Log'!D481="","",'Engagement Log'!D481)</f>
        <v/>
      </c>
      <c r="E476" s="75" t="str">
        <f>IF('Engagement Log'!G481="","",'Engagement Log'!G481)</f>
        <v/>
      </c>
      <c r="F476" s="75" t="str">
        <f>IF('Engagement Log'!N481="","",'Engagement Log'!N481)</f>
        <v/>
      </c>
      <c r="G476" s="75" t="str">
        <f>IF('Engagement Log'!C481="","",'Engagement Log'!C481)</f>
        <v/>
      </c>
      <c r="H476" s="76" t="str">
        <f>IF('Engagement Log'!P481="","",'Engagement Log'!P481)</f>
        <v/>
      </c>
      <c r="I476" s="76" t="str">
        <f>IF('Engagement Log'!Q481="","",'Engagement Log'!Q481)</f>
        <v/>
      </c>
      <c r="J476" s="77" t="str">
        <f>IF('Engagement Log'!L481="","",'Engagement Log'!L481)</f>
        <v/>
      </c>
    </row>
    <row r="477" spans="1:10" x14ac:dyDescent="0.3">
      <c r="A477" s="68" t="str">
        <f>IF('Engagement Log'!O482="","",'Engagement Log'!O482)</f>
        <v/>
      </c>
      <c r="B477" s="69" t="str">
        <f ca="1">IF('Engagement Log'!O482="","",'Engagement Log'!O482-TODAY())</f>
        <v/>
      </c>
      <c r="C477" s="70" t="str">
        <f>IF('Engagement Log'!B482="","",'Engagement Log'!B482)</f>
        <v/>
      </c>
      <c r="D477" s="70" t="str">
        <f>IF('Engagement Log'!D482="","",'Engagement Log'!D482)</f>
        <v/>
      </c>
      <c r="E477" s="70" t="str">
        <f>IF('Engagement Log'!G482="","",'Engagement Log'!G482)</f>
        <v/>
      </c>
      <c r="F477" s="70" t="str">
        <f>IF('Engagement Log'!N482="","",'Engagement Log'!N482)</f>
        <v/>
      </c>
      <c r="G477" s="70" t="str">
        <f>IF('Engagement Log'!C482="","",'Engagement Log'!C482)</f>
        <v/>
      </c>
      <c r="H477" s="71" t="str">
        <f>IF('Engagement Log'!P482="","",'Engagement Log'!P482)</f>
        <v/>
      </c>
      <c r="I477" s="71" t="str">
        <f>IF('Engagement Log'!Q482="","",'Engagement Log'!Q482)</f>
        <v/>
      </c>
      <c r="J477" s="72" t="str">
        <f>IF('Engagement Log'!L482="","",'Engagement Log'!L482)</f>
        <v/>
      </c>
    </row>
    <row r="478" spans="1:10" x14ac:dyDescent="0.3">
      <c r="A478" s="73" t="str">
        <f>IF('Engagement Log'!O483="","",'Engagement Log'!O483)</f>
        <v/>
      </c>
      <c r="B478" s="74" t="str">
        <f ca="1">IF('Engagement Log'!O483="","",'Engagement Log'!O483-TODAY())</f>
        <v/>
      </c>
      <c r="C478" s="75" t="str">
        <f>IF('Engagement Log'!B483="","",'Engagement Log'!B483)</f>
        <v/>
      </c>
      <c r="D478" s="75" t="str">
        <f>IF('Engagement Log'!D483="","",'Engagement Log'!D483)</f>
        <v/>
      </c>
      <c r="E478" s="75" t="str">
        <f>IF('Engagement Log'!G483="","",'Engagement Log'!G483)</f>
        <v/>
      </c>
      <c r="F478" s="75" t="str">
        <f>IF('Engagement Log'!N483="","",'Engagement Log'!N483)</f>
        <v/>
      </c>
      <c r="G478" s="75" t="str">
        <f>IF('Engagement Log'!C483="","",'Engagement Log'!C483)</f>
        <v/>
      </c>
      <c r="H478" s="76" t="str">
        <f>IF('Engagement Log'!P483="","",'Engagement Log'!P483)</f>
        <v/>
      </c>
      <c r="I478" s="76" t="str">
        <f>IF('Engagement Log'!Q483="","",'Engagement Log'!Q483)</f>
        <v/>
      </c>
      <c r="J478" s="77" t="str">
        <f>IF('Engagement Log'!L483="","",'Engagement Log'!L483)</f>
        <v/>
      </c>
    </row>
    <row r="479" spans="1:10" x14ac:dyDescent="0.3">
      <c r="A479" s="68" t="str">
        <f>IF('Engagement Log'!O484="","",'Engagement Log'!O484)</f>
        <v/>
      </c>
      <c r="B479" s="69" t="str">
        <f ca="1">IF('Engagement Log'!O484="","",'Engagement Log'!O484-TODAY())</f>
        <v/>
      </c>
      <c r="C479" s="70" t="str">
        <f>IF('Engagement Log'!B484="","",'Engagement Log'!B484)</f>
        <v/>
      </c>
      <c r="D479" s="70" t="str">
        <f>IF('Engagement Log'!D484="","",'Engagement Log'!D484)</f>
        <v/>
      </c>
      <c r="E479" s="70" t="str">
        <f>IF('Engagement Log'!G484="","",'Engagement Log'!G484)</f>
        <v/>
      </c>
      <c r="F479" s="70" t="str">
        <f>IF('Engagement Log'!N484="","",'Engagement Log'!N484)</f>
        <v/>
      </c>
      <c r="G479" s="70" t="str">
        <f>IF('Engagement Log'!C484="","",'Engagement Log'!C484)</f>
        <v/>
      </c>
      <c r="H479" s="71" t="str">
        <f>IF('Engagement Log'!P484="","",'Engagement Log'!P484)</f>
        <v/>
      </c>
      <c r="I479" s="71" t="str">
        <f>IF('Engagement Log'!Q484="","",'Engagement Log'!Q484)</f>
        <v/>
      </c>
      <c r="J479" s="72" t="str">
        <f>IF('Engagement Log'!L484="","",'Engagement Log'!L484)</f>
        <v/>
      </c>
    </row>
    <row r="480" spans="1:10" x14ac:dyDescent="0.3">
      <c r="A480" s="73" t="str">
        <f>IF('Engagement Log'!O485="","",'Engagement Log'!O485)</f>
        <v/>
      </c>
      <c r="B480" s="74" t="str">
        <f ca="1">IF('Engagement Log'!O485="","",'Engagement Log'!O485-TODAY())</f>
        <v/>
      </c>
      <c r="C480" s="75" t="str">
        <f>IF('Engagement Log'!B485="","",'Engagement Log'!B485)</f>
        <v/>
      </c>
      <c r="D480" s="75" t="str">
        <f>IF('Engagement Log'!D485="","",'Engagement Log'!D485)</f>
        <v/>
      </c>
      <c r="E480" s="75" t="str">
        <f>IF('Engagement Log'!G485="","",'Engagement Log'!G485)</f>
        <v/>
      </c>
      <c r="F480" s="75" t="str">
        <f>IF('Engagement Log'!N485="","",'Engagement Log'!N485)</f>
        <v/>
      </c>
      <c r="G480" s="75" t="str">
        <f>IF('Engagement Log'!C485="","",'Engagement Log'!C485)</f>
        <v/>
      </c>
      <c r="H480" s="76" t="str">
        <f>IF('Engagement Log'!P485="","",'Engagement Log'!P485)</f>
        <v/>
      </c>
      <c r="I480" s="76" t="str">
        <f>IF('Engagement Log'!Q485="","",'Engagement Log'!Q485)</f>
        <v/>
      </c>
      <c r="J480" s="77" t="str">
        <f>IF('Engagement Log'!L485="","",'Engagement Log'!L485)</f>
        <v/>
      </c>
    </row>
    <row r="481" spans="1:10" x14ac:dyDescent="0.3">
      <c r="A481" s="68" t="str">
        <f>IF('Engagement Log'!O486="","",'Engagement Log'!O486)</f>
        <v/>
      </c>
      <c r="B481" s="69" t="str">
        <f ca="1">IF('Engagement Log'!O486="","",'Engagement Log'!O486-TODAY())</f>
        <v/>
      </c>
      <c r="C481" s="70" t="str">
        <f>IF('Engagement Log'!B486="","",'Engagement Log'!B486)</f>
        <v/>
      </c>
      <c r="D481" s="70" t="str">
        <f>IF('Engagement Log'!D486="","",'Engagement Log'!D486)</f>
        <v/>
      </c>
      <c r="E481" s="70" t="str">
        <f>IF('Engagement Log'!G486="","",'Engagement Log'!G486)</f>
        <v/>
      </c>
      <c r="F481" s="70" t="str">
        <f>IF('Engagement Log'!N486="","",'Engagement Log'!N486)</f>
        <v/>
      </c>
      <c r="G481" s="70" t="str">
        <f>IF('Engagement Log'!C486="","",'Engagement Log'!C486)</f>
        <v/>
      </c>
      <c r="H481" s="71" t="str">
        <f>IF('Engagement Log'!P486="","",'Engagement Log'!P486)</f>
        <v/>
      </c>
      <c r="I481" s="71" t="str">
        <f>IF('Engagement Log'!Q486="","",'Engagement Log'!Q486)</f>
        <v/>
      </c>
      <c r="J481" s="72" t="str">
        <f>IF('Engagement Log'!L486="","",'Engagement Log'!L486)</f>
        <v/>
      </c>
    </row>
    <row r="482" spans="1:10" x14ac:dyDescent="0.3">
      <c r="A482" s="73" t="str">
        <f>IF('Engagement Log'!O487="","",'Engagement Log'!O487)</f>
        <v/>
      </c>
      <c r="B482" s="74" t="str">
        <f ca="1">IF('Engagement Log'!O487="","",'Engagement Log'!O487-TODAY())</f>
        <v/>
      </c>
      <c r="C482" s="75" t="str">
        <f>IF('Engagement Log'!B487="","",'Engagement Log'!B487)</f>
        <v/>
      </c>
      <c r="D482" s="75" t="str">
        <f>IF('Engagement Log'!D487="","",'Engagement Log'!D487)</f>
        <v/>
      </c>
      <c r="E482" s="75" t="str">
        <f>IF('Engagement Log'!G487="","",'Engagement Log'!G487)</f>
        <v/>
      </c>
      <c r="F482" s="75" t="str">
        <f>IF('Engagement Log'!N487="","",'Engagement Log'!N487)</f>
        <v/>
      </c>
      <c r="G482" s="75" t="str">
        <f>IF('Engagement Log'!C487="","",'Engagement Log'!C487)</f>
        <v/>
      </c>
      <c r="H482" s="76" t="str">
        <f>IF('Engagement Log'!P487="","",'Engagement Log'!P487)</f>
        <v/>
      </c>
      <c r="I482" s="76" t="str">
        <f>IF('Engagement Log'!Q487="","",'Engagement Log'!Q487)</f>
        <v/>
      </c>
      <c r="J482" s="77" t="str">
        <f>IF('Engagement Log'!L487="","",'Engagement Log'!L487)</f>
        <v/>
      </c>
    </row>
    <row r="483" spans="1:10" x14ac:dyDescent="0.3">
      <c r="A483" s="68" t="str">
        <f>IF('Engagement Log'!O488="","",'Engagement Log'!O488)</f>
        <v/>
      </c>
      <c r="B483" s="69" t="str">
        <f ca="1">IF('Engagement Log'!O488="","",'Engagement Log'!O488-TODAY())</f>
        <v/>
      </c>
      <c r="C483" s="70" t="str">
        <f>IF('Engagement Log'!B488="","",'Engagement Log'!B488)</f>
        <v/>
      </c>
      <c r="D483" s="70" t="str">
        <f>IF('Engagement Log'!D488="","",'Engagement Log'!D488)</f>
        <v/>
      </c>
      <c r="E483" s="70" t="str">
        <f>IF('Engagement Log'!G488="","",'Engagement Log'!G488)</f>
        <v/>
      </c>
      <c r="F483" s="70" t="str">
        <f>IF('Engagement Log'!N488="","",'Engagement Log'!N488)</f>
        <v/>
      </c>
      <c r="G483" s="70" t="str">
        <f>IF('Engagement Log'!C488="","",'Engagement Log'!C488)</f>
        <v/>
      </c>
      <c r="H483" s="71" t="str">
        <f>IF('Engagement Log'!P488="","",'Engagement Log'!P488)</f>
        <v/>
      </c>
      <c r="I483" s="71" t="str">
        <f>IF('Engagement Log'!Q488="","",'Engagement Log'!Q488)</f>
        <v/>
      </c>
      <c r="J483" s="72" t="str">
        <f>IF('Engagement Log'!L488="","",'Engagement Log'!L488)</f>
        <v/>
      </c>
    </row>
    <row r="484" spans="1:10" x14ac:dyDescent="0.3">
      <c r="A484" s="73" t="str">
        <f>IF('Engagement Log'!O489="","",'Engagement Log'!O489)</f>
        <v/>
      </c>
      <c r="B484" s="74" t="str">
        <f ca="1">IF('Engagement Log'!O489="","",'Engagement Log'!O489-TODAY())</f>
        <v/>
      </c>
      <c r="C484" s="75" t="str">
        <f>IF('Engagement Log'!B489="","",'Engagement Log'!B489)</f>
        <v/>
      </c>
      <c r="D484" s="75" t="str">
        <f>IF('Engagement Log'!D489="","",'Engagement Log'!D489)</f>
        <v/>
      </c>
      <c r="E484" s="75" t="str">
        <f>IF('Engagement Log'!G489="","",'Engagement Log'!G489)</f>
        <v/>
      </c>
      <c r="F484" s="75" t="str">
        <f>IF('Engagement Log'!N489="","",'Engagement Log'!N489)</f>
        <v/>
      </c>
      <c r="G484" s="75" t="str">
        <f>IF('Engagement Log'!C489="","",'Engagement Log'!C489)</f>
        <v/>
      </c>
      <c r="H484" s="76" t="str">
        <f>IF('Engagement Log'!P489="","",'Engagement Log'!P489)</f>
        <v/>
      </c>
      <c r="I484" s="76" t="str">
        <f>IF('Engagement Log'!Q489="","",'Engagement Log'!Q489)</f>
        <v/>
      </c>
      <c r="J484" s="77" t="str">
        <f>IF('Engagement Log'!L489="","",'Engagement Log'!L489)</f>
        <v/>
      </c>
    </row>
    <row r="485" spans="1:10" x14ac:dyDescent="0.3">
      <c r="A485" s="68" t="str">
        <f>IF('Engagement Log'!O490="","",'Engagement Log'!O490)</f>
        <v/>
      </c>
      <c r="B485" s="69" t="str">
        <f ca="1">IF('Engagement Log'!O490="","",'Engagement Log'!O490-TODAY())</f>
        <v/>
      </c>
      <c r="C485" s="70" t="str">
        <f>IF('Engagement Log'!B490="","",'Engagement Log'!B490)</f>
        <v/>
      </c>
      <c r="D485" s="70" t="str">
        <f>IF('Engagement Log'!D490="","",'Engagement Log'!D490)</f>
        <v/>
      </c>
      <c r="E485" s="70" t="str">
        <f>IF('Engagement Log'!G490="","",'Engagement Log'!G490)</f>
        <v/>
      </c>
      <c r="F485" s="70" t="str">
        <f>IF('Engagement Log'!N490="","",'Engagement Log'!N490)</f>
        <v/>
      </c>
      <c r="G485" s="70" t="str">
        <f>IF('Engagement Log'!C490="","",'Engagement Log'!C490)</f>
        <v/>
      </c>
      <c r="H485" s="71" t="str">
        <f>IF('Engagement Log'!P490="","",'Engagement Log'!P490)</f>
        <v/>
      </c>
      <c r="I485" s="71" t="str">
        <f>IF('Engagement Log'!Q490="","",'Engagement Log'!Q490)</f>
        <v/>
      </c>
      <c r="J485" s="72" t="str">
        <f>IF('Engagement Log'!L490="","",'Engagement Log'!L490)</f>
        <v/>
      </c>
    </row>
    <row r="486" spans="1:10" x14ac:dyDescent="0.3">
      <c r="A486" s="73" t="str">
        <f>IF('Engagement Log'!O491="","",'Engagement Log'!O491)</f>
        <v/>
      </c>
      <c r="B486" s="74" t="str">
        <f ca="1">IF('Engagement Log'!O491="","",'Engagement Log'!O491-TODAY())</f>
        <v/>
      </c>
      <c r="C486" s="75" t="str">
        <f>IF('Engagement Log'!B491="","",'Engagement Log'!B491)</f>
        <v/>
      </c>
      <c r="D486" s="75" t="str">
        <f>IF('Engagement Log'!D491="","",'Engagement Log'!D491)</f>
        <v/>
      </c>
      <c r="E486" s="75" t="str">
        <f>IF('Engagement Log'!G491="","",'Engagement Log'!G491)</f>
        <v/>
      </c>
      <c r="F486" s="75" t="str">
        <f>IF('Engagement Log'!N491="","",'Engagement Log'!N491)</f>
        <v/>
      </c>
      <c r="G486" s="75" t="str">
        <f>IF('Engagement Log'!C491="","",'Engagement Log'!C491)</f>
        <v/>
      </c>
      <c r="H486" s="76" t="str">
        <f>IF('Engagement Log'!P491="","",'Engagement Log'!P491)</f>
        <v/>
      </c>
      <c r="I486" s="76" t="str">
        <f>IF('Engagement Log'!Q491="","",'Engagement Log'!Q491)</f>
        <v/>
      </c>
      <c r="J486" s="77" t="str">
        <f>IF('Engagement Log'!L491="","",'Engagement Log'!L491)</f>
        <v/>
      </c>
    </row>
    <row r="487" spans="1:10" x14ac:dyDescent="0.3">
      <c r="A487" s="68" t="str">
        <f>IF('Engagement Log'!O492="","",'Engagement Log'!O492)</f>
        <v/>
      </c>
      <c r="B487" s="69" t="str">
        <f ca="1">IF('Engagement Log'!O492="","",'Engagement Log'!O492-TODAY())</f>
        <v/>
      </c>
      <c r="C487" s="70" t="str">
        <f>IF('Engagement Log'!B492="","",'Engagement Log'!B492)</f>
        <v/>
      </c>
      <c r="D487" s="70" t="str">
        <f>IF('Engagement Log'!D492="","",'Engagement Log'!D492)</f>
        <v/>
      </c>
      <c r="E487" s="70" t="str">
        <f>IF('Engagement Log'!G492="","",'Engagement Log'!G492)</f>
        <v/>
      </c>
      <c r="F487" s="70" t="str">
        <f>IF('Engagement Log'!N492="","",'Engagement Log'!N492)</f>
        <v/>
      </c>
      <c r="G487" s="70" t="str">
        <f>IF('Engagement Log'!C492="","",'Engagement Log'!C492)</f>
        <v/>
      </c>
      <c r="H487" s="71" t="str">
        <f>IF('Engagement Log'!P492="","",'Engagement Log'!P492)</f>
        <v/>
      </c>
      <c r="I487" s="71" t="str">
        <f>IF('Engagement Log'!Q492="","",'Engagement Log'!Q492)</f>
        <v/>
      </c>
      <c r="J487" s="72" t="str">
        <f>IF('Engagement Log'!L492="","",'Engagement Log'!L492)</f>
        <v/>
      </c>
    </row>
    <row r="488" spans="1:10" x14ac:dyDescent="0.3">
      <c r="A488" s="73" t="str">
        <f>IF('Engagement Log'!O493="","",'Engagement Log'!O493)</f>
        <v/>
      </c>
      <c r="B488" s="74" t="str">
        <f ca="1">IF('Engagement Log'!O493="","",'Engagement Log'!O493-TODAY())</f>
        <v/>
      </c>
      <c r="C488" s="75" t="str">
        <f>IF('Engagement Log'!B493="","",'Engagement Log'!B493)</f>
        <v/>
      </c>
      <c r="D488" s="75" t="str">
        <f>IF('Engagement Log'!D493="","",'Engagement Log'!D493)</f>
        <v/>
      </c>
      <c r="E488" s="75" t="str">
        <f>IF('Engagement Log'!G493="","",'Engagement Log'!G493)</f>
        <v/>
      </c>
      <c r="F488" s="75" t="str">
        <f>IF('Engagement Log'!N493="","",'Engagement Log'!N493)</f>
        <v/>
      </c>
      <c r="G488" s="75" t="str">
        <f>IF('Engagement Log'!C493="","",'Engagement Log'!C493)</f>
        <v/>
      </c>
      <c r="H488" s="76" t="str">
        <f>IF('Engagement Log'!P493="","",'Engagement Log'!P493)</f>
        <v/>
      </c>
      <c r="I488" s="76" t="str">
        <f>IF('Engagement Log'!Q493="","",'Engagement Log'!Q493)</f>
        <v/>
      </c>
      <c r="J488" s="77" t="str">
        <f>IF('Engagement Log'!L493="","",'Engagement Log'!L493)</f>
        <v/>
      </c>
    </row>
    <row r="489" spans="1:10" x14ac:dyDescent="0.3">
      <c r="A489" s="68" t="str">
        <f>IF('Engagement Log'!O494="","",'Engagement Log'!O494)</f>
        <v/>
      </c>
      <c r="B489" s="69" t="str">
        <f ca="1">IF('Engagement Log'!O494="","",'Engagement Log'!O494-TODAY())</f>
        <v/>
      </c>
      <c r="C489" s="70" t="str">
        <f>IF('Engagement Log'!B494="","",'Engagement Log'!B494)</f>
        <v/>
      </c>
      <c r="D489" s="70" t="str">
        <f>IF('Engagement Log'!D494="","",'Engagement Log'!D494)</f>
        <v/>
      </c>
      <c r="E489" s="70" t="str">
        <f>IF('Engagement Log'!G494="","",'Engagement Log'!G494)</f>
        <v/>
      </c>
      <c r="F489" s="70" t="str">
        <f>IF('Engagement Log'!N494="","",'Engagement Log'!N494)</f>
        <v/>
      </c>
      <c r="G489" s="70" t="str">
        <f>IF('Engagement Log'!C494="","",'Engagement Log'!C494)</f>
        <v/>
      </c>
      <c r="H489" s="71" t="str">
        <f>IF('Engagement Log'!P494="","",'Engagement Log'!P494)</f>
        <v/>
      </c>
      <c r="I489" s="71" t="str">
        <f>IF('Engagement Log'!Q494="","",'Engagement Log'!Q494)</f>
        <v/>
      </c>
      <c r="J489" s="72" t="str">
        <f>IF('Engagement Log'!L494="","",'Engagement Log'!L494)</f>
        <v/>
      </c>
    </row>
    <row r="490" spans="1:10" x14ac:dyDescent="0.3">
      <c r="A490" s="73" t="str">
        <f>IF('Engagement Log'!O495="","",'Engagement Log'!O495)</f>
        <v/>
      </c>
      <c r="B490" s="74" t="str">
        <f ca="1">IF('Engagement Log'!O495="","",'Engagement Log'!O495-TODAY())</f>
        <v/>
      </c>
      <c r="C490" s="75" t="str">
        <f>IF('Engagement Log'!B495="","",'Engagement Log'!B495)</f>
        <v/>
      </c>
      <c r="D490" s="75" t="str">
        <f>IF('Engagement Log'!D495="","",'Engagement Log'!D495)</f>
        <v/>
      </c>
      <c r="E490" s="75" t="str">
        <f>IF('Engagement Log'!G495="","",'Engagement Log'!G495)</f>
        <v/>
      </c>
      <c r="F490" s="75" t="str">
        <f>IF('Engagement Log'!N495="","",'Engagement Log'!N495)</f>
        <v/>
      </c>
      <c r="G490" s="75" t="str">
        <f>IF('Engagement Log'!C495="","",'Engagement Log'!C495)</f>
        <v/>
      </c>
      <c r="H490" s="76" t="str">
        <f>IF('Engagement Log'!P495="","",'Engagement Log'!P495)</f>
        <v/>
      </c>
      <c r="I490" s="76" t="str">
        <f>IF('Engagement Log'!Q495="","",'Engagement Log'!Q495)</f>
        <v/>
      </c>
      <c r="J490" s="77" t="str">
        <f>IF('Engagement Log'!L495="","",'Engagement Log'!L495)</f>
        <v/>
      </c>
    </row>
    <row r="491" spans="1:10" x14ac:dyDescent="0.3">
      <c r="A491" s="68" t="str">
        <f>IF('Engagement Log'!O496="","",'Engagement Log'!O496)</f>
        <v/>
      </c>
      <c r="B491" s="69" t="str">
        <f ca="1">IF('Engagement Log'!O496="","",'Engagement Log'!O496-TODAY())</f>
        <v/>
      </c>
      <c r="C491" s="70" t="str">
        <f>IF('Engagement Log'!B496="","",'Engagement Log'!B496)</f>
        <v/>
      </c>
      <c r="D491" s="70" t="str">
        <f>IF('Engagement Log'!D496="","",'Engagement Log'!D496)</f>
        <v/>
      </c>
      <c r="E491" s="70" t="str">
        <f>IF('Engagement Log'!G496="","",'Engagement Log'!G496)</f>
        <v/>
      </c>
      <c r="F491" s="70" t="str">
        <f>IF('Engagement Log'!N496="","",'Engagement Log'!N496)</f>
        <v/>
      </c>
      <c r="G491" s="70" t="str">
        <f>IF('Engagement Log'!C496="","",'Engagement Log'!C496)</f>
        <v/>
      </c>
      <c r="H491" s="71" t="str">
        <f>IF('Engagement Log'!P496="","",'Engagement Log'!P496)</f>
        <v/>
      </c>
      <c r="I491" s="71" t="str">
        <f>IF('Engagement Log'!Q496="","",'Engagement Log'!Q496)</f>
        <v/>
      </c>
      <c r="J491" s="72" t="str">
        <f>IF('Engagement Log'!L496="","",'Engagement Log'!L496)</f>
        <v/>
      </c>
    </row>
    <row r="492" spans="1:10" x14ac:dyDescent="0.3">
      <c r="A492" s="73" t="str">
        <f>IF('Engagement Log'!O497="","",'Engagement Log'!O497)</f>
        <v/>
      </c>
      <c r="B492" s="74" t="str">
        <f ca="1">IF('Engagement Log'!O497="","",'Engagement Log'!O497-TODAY())</f>
        <v/>
      </c>
      <c r="C492" s="75" t="str">
        <f>IF('Engagement Log'!B497="","",'Engagement Log'!B497)</f>
        <v/>
      </c>
      <c r="D492" s="75" t="str">
        <f>IF('Engagement Log'!D497="","",'Engagement Log'!D497)</f>
        <v/>
      </c>
      <c r="E492" s="75" t="str">
        <f>IF('Engagement Log'!G497="","",'Engagement Log'!G497)</f>
        <v/>
      </c>
      <c r="F492" s="75" t="str">
        <f>IF('Engagement Log'!N497="","",'Engagement Log'!N497)</f>
        <v/>
      </c>
      <c r="G492" s="75" t="str">
        <f>IF('Engagement Log'!C497="","",'Engagement Log'!C497)</f>
        <v/>
      </c>
      <c r="H492" s="76" t="str">
        <f>IF('Engagement Log'!P497="","",'Engagement Log'!P497)</f>
        <v/>
      </c>
      <c r="I492" s="76" t="str">
        <f>IF('Engagement Log'!Q497="","",'Engagement Log'!Q497)</f>
        <v/>
      </c>
      <c r="J492" s="77" t="str">
        <f>IF('Engagement Log'!L497="","",'Engagement Log'!L497)</f>
        <v/>
      </c>
    </row>
    <row r="493" spans="1:10" x14ac:dyDescent="0.3">
      <c r="A493" s="68" t="str">
        <f>IF('Engagement Log'!O498="","",'Engagement Log'!O498)</f>
        <v/>
      </c>
      <c r="B493" s="69" t="str">
        <f ca="1">IF('Engagement Log'!O498="","",'Engagement Log'!O498-TODAY())</f>
        <v/>
      </c>
      <c r="C493" s="70" t="str">
        <f>IF('Engagement Log'!B498="","",'Engagement Log'!B498)</f>
        <v/>
      </c>
      <c r="D493" s="70" t="str">
        <f>IF('Engagement Log'!D498="","",'Engagement Log'!D498)</f>
        <v/>
      </c>
      <c r="E493" s="70" t="str">
        <f>IF('Engagement Log'!G498="","",'Engagement Log'!G498)</f>
        <v/>
      </c>
      <c r="F493" s="70" t="str">
        <f>IF('Engagement Log'!N498="","",'Engagement Log'!N498)</f>
        <v/>
      </c>
      <c r="G493" s="70" t="str">
        <f>IF('Engagement Log'!C498="","",'Engagement Log'!C498)</f>
        <v/>
      </c>
      <c r="H493" s="71" t="str">
        <f>IF('Engagement Log'!P498="","",'Engagement Log'!P498)</f>
        <v/>
      </c>
      <c r="I493" s="71" t="str">
        <f>IF('Engagement Log'!Q498="","",'Engagement Log'!Q498)</f>
        <v/>
      </c>
      <c r="J493" s="72" t="str">
        <f>IF('Engagement Log'!L498="","",'Engagement Log'!L498)</f>
        <v/>
      </c>
    </row>
    <row r="494" spans="1:10" x14ac:dyDescent="0.3">
      <c r="A494" s="73" t="str">
        <f>IF('Engagement Log'!O499="","",'Engagement Log'!O499)</f>
        <v/>
      </c>
      <c r="B494" s="74" t="str">
        <f ca="1">IF('Engagement Log'!O499="","",'Engagement Log'!O499-TODAY())</f>
        <v/>
      </c>
      <c r="C494" s="75" t="str">
        <f>IF('Engagement Log'!B499="","",'Engagement Log'!B499)</f>
        <v/>
      </c>
      <c r="D494" s="75" t="str">
        <f>IF('Engagement Log'!D499="","",'Engagement Log'!D499)</f>
        <v/>
      </c>
      <c r="E494" s="75" t="str">
        <f>IF('Engagement Log'!G499="","",'Engagement Log'!G499)</f>
        <v/>
      </c>
      <c r="F494" s="75" t="str">
        <f>IF('Engagement Log'!N499="","",'Engagement Log'!N499)</f>
        <v/>
      </c>
      <c r="G494" s="75" t="str">
        <f>IF('Engagement Log'!C499="","",'Engagement Log'!C499)</f>
        <v/>
      </c>
      <c r="H494" s="76" t="str">
        <f>IF('Engagement Log'!P499="","",'Engagement Log'!P499)</f>
        <v/>
      </c>
      <c r="I494" s="76" t="str">
        <f>IF('Engagement Log'!Q499="","",'Engagement Log'!Q499)</f>
        <v/>
      </c>
      <c r="J494" s="77" t="str">
        <f>IF('Engagement Log'!L499="","",'Engagement Log'!L499)</f>
        <v/>
      </c>
    </row>
    <row r="495" spans="1:10" x14ac:dyDescent="0.3">
      <c r="A495" s="68" t="str">
        <f>IF('Engagement Log'!O500="","",'Engagement Log'!O500)</f>
        <v/>
      </c>
      <c r="B495" s="69" t="str">
        <f ca="1">IF('Engagement Log'!O500="","",'Engagement Log'!O500-TODAY())</f>
        <v/>
      </c>
      <c r="C495" s="70" t="str">
        <f>IF('Engagement Log'!B500="","",'Engagement Log'!B500)</f>
        <v/>
      </c>
      <c r="D495" s="70" t="str">
        <f>IF('Engagement Log'!D500="","",'Engagement Log'!D500)</f>
        <v/>
      </c>
      <c r="E495" s="70" t="str">
        <f>IF('Engagement Log'!G500="","",'Engagement Log'!G500)</f>
        <v/>
      </c>
      <c r="F495" s="70" t="str">
        <f>IF('Engagement Log'!N500="","",'Engagement Log'!N500)</f>
        <v/>
      </c>
      <c r="G495" s="70" t="str">
        <f>IF('Engagement Log'!C500="","",'Engagement Log'!C500)</f>
        <v/>
      </c>
      <c r="H495" s="71" t="str">
        <f>IF('Engagement Log'!P500="","",'Engagement Log'!P500)</f>
        <v/>
      </c>
      <c r="I495" s="71" t="str">
        <f>IF('Engagement Log'!Q500="","",'Engagement Log'!Q500)</f>
        <v/>
      </c>
      <c r="J495" s="72" t="str">
        <f>IF('Engagement Log'!L500="","",'Engagement Log'!L500)</f>
        <v/>
      </c>
    </row>
    <row r="496" spans="1:10" x14ac:dyDescent="0.3">
      <c r="A496" s="73" t="str">
        <f>IF('Engagement Log'!O501="","",'Engagement Log'!O501)</f>
        <v/>
      </c>
      <c r="B496" s="74" t="str">
        <f ca="1">IF('Engagement Log'!O501="","",'Engagement Log'!O501-TODAY())</f>
        <v/>
      </c>
      <c r="C496" s="75" t="str">
        <f>IF('Engagement Log'!B501="","",'Engagement Log'!B501)</f>
        <v/>
      </c>
      <c r="D496" s="75" t="str">
        <f>IF('Engagement Log'!D501="","",'Engagement Log'!D501)</f>
        <v/>
      </c>
      <c r="E496" s="75" t="str">
        <f>IF('Engagement Log'!G501="","",'Engagement Log'!G501)</f>
        <v/>
      </c>
      <c r="F496" s="75" t="str">
        <f>IF('Engagement Log'!N501="","",'Engagement Log'!N501)</f>
        <v/>
      </c>
      <c r="G496" s="75" t="str">
        <f>IF('Engagement Log'!C501="","",'Engagement Log'!C501)</f>
        <v/>
      </c>
      <c r="H496" s="76" t="str">
        <f>IF('Engagement Log'!P501="","",'Engagement Log'!P501)</f>
        <v/>
      </c>
      <c r="I496" s="76" t="str">
        <f>IF('Engagement Log'!Q501="","",'Engagement Log'!Q501)</f>
        <v/>
      </c>
      <c r="J496" s="77" t="str">
        <f>IF('Engagement Log'!L501="","",'Engagement Log'!L501)</f>
        <v/>
      </c>
    </row>
    <row r="497" spans="1:10" x14ac:dyDescent="0.3">
      <c r="A497" s="68" t="str">
        <f>IF('Engagement Log'!O502="","",'Engagement Log'!O502)</f>
        <v/>
      </c>
      <c r="B497" s="69" t="str">
        <f ca="1">IF('Engagement Log'!O502="","",'Engagement Log'!O502-TODAY())</f>
        <v/>
      </c>
      <c r="C497" s="70" t="str">
        <f>IF('Engagement Log'!B502="","",'Engagement Log'!B502)</f>
        <v/>
      </c>
      <c r="D497" s="70" t="str">
        <f>IF('Engagement Log'!D502="","",'Engagement Log'!D502)</f>
        <v/>
      </c>
      <c r="E497" s="70" t="str">
        <f>IF('Engagement Log'!G502="","",'Engagement Log'!G502)</f>
        <v/>
      </c>
      <c r="F497" s="70" t="str">
        <f>IF('Engagement Log'!N502="","",'Engagement Log'!N502)</f>
        <v/>
      </c>
      <c r="G497" s="70" t="str">
        <f>IF('Engagement Log'!C502="","",'Engagement Log'!C502)</f>
        <v/>
      </c>
      <c r="H497" s="71" t="str">
        <f>IF('Engagement Log'!P502="","",'Engagement Log'!P502)</f>
        <v/>
      </c>
      <c r="I497" s="71" t="str">
        <f>IF('Engagement Log'!Q502="","",'Engagement Log'!Q502)</f>
        <v/>
      </c>
      <c r="J497" s="72" t="str">
        <f>IF('Engagement Log'!L502="","",'Engagement Log'!L502)</f>
        <v/>
      </c>
    </row>
    <row r="498" spans="1:10" x14ac:dyDescent="0.3">
      <c r="A498" s="73" t="str">
        <f>IF('Engagement Log'!O503="","",'Engagement Log'!O503)</f>
        <v/>
      </c>
      <c r="B498" s="74" t="str">
        <f ca="1">IF('Engagement Log'!O503="","",'Engagement Log'!O503-TODAY())</f>
        <v/>
      </c>
      <c r="C498" s="75" t="str">
        <f>IF('Engagement Log'!B503="","",'Engagement Log'!B503)</f>
        <v/>
      </c>
      <c r="D498" s="75" t="str">
        <f>IF('Engagement Log'!D503="","",'Engagement Log'!D503)</f>
        <v/>
      </c>
      <c r="E498" s="75" t="str">
        <f>IF('Engagement Log'!G503="","",'Engagement Log'!G503)</f>
        <v/>
      </c>
      <c r="F498" s="75" t="str">
        <f>IF('Engagement Log'!N503="","",'Engagement Log'!N503)</f>
        <v/>
      </c>
      <c r="G498" s="75" t="str">
        <f>IF('Engagement Log'!C503="","",'Engagement Log'!C503)</f>
        <v/>
      </c>
      <c r="H498" s="76" t="str">
        <f>IF('Engagement Log'!P503="","",'Engagement Log'!P503)</f>
        <v/>
      </c>
      <c r="I498" s="76" t="str">
        <f>IF('Engagement Log'!Q503="","",'Engagement Log'!Q503)</f>
        <v/>
      </c>
      <c r="J498" s="77" t="str">
        <f>IF('Engagement Log'!L503="","",'Engagement Log'!L503)</f>
        <v/>
      </c>
    </row>
    <row r="499" spans="1:10" x14ac:dyDescent="0.3">
      <c r="A499" s="68" t="str">
        <f>IF('Engagement Log'!O504="","",'Engagement Log'!O504)</f>
        <v/>
      </c>
      <c r="B499" s="69" t="str">
        <f ca="1">IF('Engagement Log'!O504="","",'Engagement Log'!O504-TODAY())</f>
        <v/>
      </c>
      <c r="C499" s="70" t="str">
        <f>IF('Engagement Log'!B504="","",'Engagement Log'!B504)</f>
        <v/>
      </c>
      <c r="D499" s="70" t="str">
        <f>IF('Engagement Log'!D504="","",'Engagement Log'!D504)</f>
        <v/>
      </c>
      <c r="E499" s="70" t="str">
        <f>IF('Engagement Log'!G504="","",'Engagement Log'!G504)</f>
        <v/>
      </c>
      <c r="F499" s="70" t="str">
        <f>IF('Engagement Log'!N504="","",'Engagement Log'!N504)</f>
        <v/>
      </c>
      <c r="G499" s="70" t="str">
        <f>IF('Engagement Log'!C504="","",'Engagement Log'!C504)</f>
        <v/>
      </c>
      <c r="H499" s="71" t="str">
        <f>IF('Engagement Log'!P504="","",'Engagement Log'!P504)</f>
        <v/>
      </c>
      <c r="I499" s="71" t="str">
        <f>IF('Engagement Log'!Q504="","",'Engagement Log'!Q504)</f>
        <v/>
      </c>
      <c r="J499" s="72" t="str">
        <f>IF('Engagement Log'!L504="","",'Engagement Log'!L504)</f>
        <v/>
      </c>
    </row>
    <row r="500" spans="1:10" x14ac:dyDescent="0.3">
      <c r="A500" s="73" t="str">
        <f>IF('Engagement Log'!O505="","",'Engagement Log'!O505)</f>
        <v/>
      </c>
      <c r="B500" s="74" t="str">
        <f ca="1">IF('Engagement Log'!O505="","",'Engagement Log'!O505-TODAY())</f>
        <v/>
      </c>
      <c r="C500" s="75" t="str">
        <f>IF('Engagement Log'!B505="","",'Engagement Log'!B505)</f>
        <v/>
      </c>
      <c r="D500" s="75" t="str">
        <f>IF('Engagement Log'!D505="","",'Engagement Log'!D505)</f>
        <v/>
      </c>
      <c r="E500" s="75" t="str">
        <f>IF('Engagement Log'!G505="","",'Engagement Log'!G505)</f>
        <v/>
      </c>
      <c r="F500" s="75" t="str">
        <f>IF('Engagement Log'!N505="","",'Engagement Log'!N505)</f>
        <v/>
      </c>
      <c r="G500" s="75" t="str">
        <f>IF('Engagement Log'!C505="","",'Engagement Log'!C505)</f>
        <v/>
      </c>
      <c r="H500" s="76" t="str">
        <f>IF('Engagement Log'!P505="","",'Engagement Log'!P505)</f>
        <v/>
      </c>
      <c r="I500" s="76" t="str">
        <f>IF('Engagement Log'!Q505="","",'Engagement Log'!Q505)</f>
        <v/>
      </c>
      <c r="J500" s="77" t="str">
        <f>IF('Engagement Log'!L505="","",'Engagement Log'!L505)</f>
        <v/>
      </c>
    </row>
    <row r="501" spans="1:10" x14ac:dyDescent="0.3">
      <c r="A501" s="68" t="str">
        <f>IF('Engagement Log'!O506="","",'Engagement Log'!O506)</f>
        <v/>
      </c>
      <c r="B501" s="69" t="str">
        <f ca="1">IF('Engagement Log'!O506="","",'Engagement Log'!O506-TODAY())</f>
        <v/>
      </c>
      <c r="C501" s="70" t="str">
        <f>IF('Engagement Log'!B506="","",'Engagement Log'!B506)</f>
        <v/>
      </c>
      <c r="D501" s="70" t="str">
        <f>IF('Engagement Log'!D506="","",'Engagement Log'!D506)</f>
        <v/>
      </c>
      <c r="E501" s="70" t="str">
        <f>IF('Engagement Log'!G506="","",'Engagement Log'!G506)</f>
        <v/>
      </c>
      <c r="F501" s="70" t="str">
        <f>IF('Engagement Log'!N506="","",'Engagement Log'!N506)</f>
        <v/>
      </c>
      <c r="G501" s="70" t="str">
        <f>IF('Engagement Log'!C506="","",'Engagement Log'!C506)</f>
        <v/>
      </c>
      <c r="H501" s="71" t="str">
        <f>IF('Engagement Log'!P506="","",'Engagement Log'!P506)</f>
        <v/>
      </c>
      <c r="I501" s="71" t="str">
        <f>IF('Engagement Log'!Q506="","",'Engagement Log'!Q506)</f>
        <v/>
      </c>
      <c r="J501" s="72" t="str">
        <f>IF('Engagement Log'!L506="","",'Engagement Log'!L506)</f>
        <v/>
      </c>
    </row>
    <row r="502" spans="1:10" x14ac:dyDescent="0.3">
      <c r="A502" s="73" t="str">
        <f>IF('Engagement Log'!O507="","",'Engagement Log'!O507)</f>
        <v/>
      </c>
      <c r="B502" s="74" t="str">
        <f ca="1">IF('Engagement Log'!O507="","",'Engagement Log'!O507-TODAY())</f>
        <v/>
      </c>
      <c r="C502" s="75" t="str">
        <f>IF('Engagement Log'!B507="","",'Engagement Log'!B507)</f>
        <v/>
      </c>
      <c r="D502" s="75" t="str">
        <f>IF('Engagement Log'!D507="","",'Engagement Log'!D507)</f>
        <v/>
      </c>
      <c r="E502" s="75" t="str">
        <f>IF('Engagement Log'!G507="","",'Engagement Log'!G507)</f>
        <v/>
      </c>
      <c r="F502" s="75" t="str">
        <f>IF('Engagement Log'!N507="","",'Engagement Log'!N507)</f>
        <v/>
      </c>
      <c r="G502" s="75" t="str">
        <f>IF('Engagement Log'!C507="","",'Engagement Log'!C507)</f>
        <v/>
      </c>
      <c r="H502" s="76" t="str">
        <f>IF('Engagement Log'!P507="","",'Engagement Log'!P507)</f>
        <v/>
      </c>
      <c r="I502" s="76" t="str">
        <f>IF('Engagement Log'!Q507="","",'Engagement Log'!Q507)</f>
        <v/>
      </c>
      <c r="J502" s="77" t="str">
        <f>IF('Engagement Log'!L507="","",'Engagement Log'!L507)</f>
        <v/>
      </c>
    </row>
    <row r="503" spans="1:10" x14ac:dyDescent="0.3">
      <c r="A503" s="68" t="str">
        <f>IF('Engagement Log'!O508="","",'Engagement Log'!O508)</f>
        <v/>
      </c>
      <c r="B503" s="69" t="str">
        <f ca="1">IF('Engagement Log'!O508="","",'Engagement Log'!O508-TODAY())</f>
        <v/>
      </c>
      <c r="C503" s="70" t="str">
        <f>IF('Engagement Log'!B508="","",'Engagement Log'!B508)</f>
        <v/>
      </c>
      <c r="D503" s="70" t="str">
        <f>IF('Engagement Log'!D508="","",'Engagement Log'!D508)</f>
        <v/>
      </c>
      <c r="E503" s="70" t="str">
        <f>IF('Engagement Log'!G508="","",'Engagement Log'!G508)</f>
        <v/>
      </c>
      <c r="F503" s="70" t="str">
        <f>IF('Engagement Log'!N508="","",'Engagement Log'!N508)</f>
        <v/>
      </c>
      <c r="G503" s="70" t="str">
        <f>IF('Engagement Log'!C508="","",'Engagement Log'!C508)</f>
        <v/>
      </c>
      <c r="H503" s="71" t="str">
        <f>IF('Engagement Log'!P508="","",'Engagement Log'!P508)</f>
        <v/>
      </c>
      <c r="I503" s="71" t="str">
        <f>IF('Engagement Log'!Q508="","",'Engagement Log'!Q508)</f>
        <v/>
      </c>
      <c r="J503" s="72" t="str">
        <f>IF('Engagement Log'!L508="","",'Engagement Log'!L508)</f>
        <v/>
      </c>
    </row>
    <row r="504" spans="1:10" x14ac:dyDescent="0.3">
      <c r="A504" s="73" t="str">
        <f>IF('Engagement Log'!O509="","",'Engagement Log'!O509)</f>
        <v/>
      </c>
      <c r="B504" s="74" t="str">
        <f ca="1">IF('Engagement Log'!O509="","",'Engagement Log'!O509-TODAY())</f>
        <v/>
      </c>
      <c r="C504" s="75" t="str">
        <f>IF('Engagement Log'!B509="","",'Engagement Log'!B509)</f>
        <v/>
      </c>
      <c r="D504" s="75" t="str">
        <f>IF('Engagement Log'!D509="","",'Engagement Log'!D509)</f>
        <v/>
      </c>
      <c r="E504" s="75" t="str">
        <f>IF('Engagement Log'!G509="","",'Engagement Log'!G509)</f>
        <v/>
      </c>
      <c r="F504" s="75" t="str">
        <f>IF('Engagement Log'!N509="","",'Engagement Log'!N509)</f>
        <v/>
      </c>
      <c r="G504" s="75" t="str">
        <f>IF('Engagement Log'!C509="","",'Engagement Log'!C509)</f>
        <v/>
      </c>
      <c r="H504" s="76" t="str">
        <f>IF('Engagement Log'!P509="","",'Engagement Log'!P509)</f>
        <v/>
      </c>
      <c r="I504" s="76" t="str">
        <f>IF('Engagement Log'!Q509="","",'Engagement Log'!Q509)</f>
        <v/>
      </c>
      <c r="J504" s="77" t="str">
        <f>IF('Engagement Log'!L509="","",'Engagement Log'!L509)</f>
        <v/>
      </c>
    </row>
  </sheetData>
  <autoFilter ref="A4:J504"/>
  <mergeCells count="2">
    <mergeCell ref="A1:J1"/>
    <mergeCell ref="A2:J2"/>
  </mergeCells>
  <conditionalFormatting sqref="B5:B504">
    <cfRule type="expression" dxfId="2" priority="2">
      <formula>AND(ISNUMBER($B5),$B5&lt;0)</formula>
    </cfRule>
    <cfRule type="expression" dxfId="1" priority="3">
      <formula>AND(ISNUMBER($B5),$B5&gt;=0,$B5&lt;=7)</formula>
    </cfRule>
    <cfRule type="expression" dxfId="0" priority="4">
      <formula>AND(ISNUMBER($B5),$B5&gt;7)</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showGridLines="0" zoomScaleNormal="100" workbookViewId="0">
      <selection activeCell="E7" sqref="E7"/>
    </sheetView>
  </sheetViews>
  <sheetFormatPr defaultColWidth="8.6640625" defaultRowHeight="14.4" x14ac:dyDescent="0.3"/>
  <cols>
    <col min="1" max="2" width="16" customWidth="1"/>
    <col min="3" max="3" width="22" customWidth="1"/>
    <col min="4" max="4" width="30" customWidth="1"/>
    <col min="5" max="5" width="18" customWidth="1"/>
  </cols>
  <sheetData>
    <row r="1" spans="1:5" ht="31.5" customHeight="1" x14ac:dyDescent="0.3">
      <c r="A1" s="12" t="s">
        <v>140</v>
      </c>
      <c r="B1" s="12"/>
      <c r="C1" s="12"/>
      <c r="D1" s="12"/>
      <c r="E1" s="12"/>
    </row>
    <row r="2" spans="1:5" ht="21.75" customHeight="1" x14ac:dyDescent="0.3">
      <c r="A2" s="11" t="s">
        <v>141</v>
      </c>
      <c r="B2" s="11"/>
      <c r="C2" s="11"/>
      <c r="D2" s="11"/>
      <c r="E2" s="11"/>
    </row>
    <row r="3" spans="1:5" ht="31.5" customHeight="1" x14ac:dyDescent="0.3">
      <c r="A3" s="27" t="s">
        <v>27</v>
      </c>
      <c r="B3" s="27" t="s">
        <v>142</v>
      </c>
      <c r="C3" s="27" t="s">
        <v>143</v>
      </c>
      <c r="D3" s="27" t="s">
        <v>144</v>
      </c>
      <c r="E3" s="27" t="s">
        <v>145</v>
      </c>
    </row>
    <row r="4" spans="1:5" x14ac:dyDescent="0.3">
      <c r="A4" s="78" t="s">
        <v>42</v>
      </c>
      <c r="B4" s="79" t="s">
        <v>146</v>
      </c>
      <c r="C4" s="29" t="s">
        <v>275</v>
      </c>
      <c r="D4" s="84" t="s">
        <v>276</v>
      </c>
      <c r="E4" s="29">
        <v>546476270</v>
      </c>
    </row>
    <row r="5" spans="1:5" x14ac:dyDescent="0.3">
      <c r="A5" s="80" t="s">
        <v>99</v>
      </c>
      <c r="B5" s="81" t="s">
        <v>146</v>
      </c>
      <c r="C5" s="34" t="s">
        <v>277</v>
      </c>
      <c r="D5" s="85" t="s">
        <v>278</v>
      </c>
      <c r="E5" s="33">
        <v>243352915</v>
      </c>
    </row>
    <row r="6" spans="1:5" x14ac:dyDescent="0.3">
      <c r="A6" s="78" t="s">
        <v>55</v>
      </c>
      <c r="B6" s="79" t="s">
        <v>58</v>
      </c>
      <c r="C6" s="30" t="s">
        <v>279</v>
      </c>
      <c r="D6" s="84" t="s">
        <v>280</v>
      </c>
      <c r="E6" s="29">
        <v>501603895</v>
      </c>
    </row>
    <row r="7" spans="1:5" x14ac:dyDescent="0.3">
      <c r="A7" s="86" t="s">
        <v>100</v>
      </c>
      <c r="B7" s="81" t="s">
        <v>58</v>
      </c>
      <c r="C7" s="30" t="s">
        <v>279</v>
      </c>
      <c r="D7" s="84" t="s">
        <v>280</v>
      </c>
      <c r="E7" s="30">
        <v>501603895</v>
      </c>
    </row>
    <row r="8" spans="1:5" x14ac:dyDescent="0.3">
      <c r="A8" s="78" t="s">
        <v>101</v>
      </c>
      <c r="B8" s="79" t="s">
        <v>147</v>
      </c>
      <c r="C8" s="30" t="s">
        <v>281</v>
      </c>
      <c r="D8" s="84" t="s">
        <v>282</v>
      </c>
      <c r="E8" s="30">
        <v>242738958</v>
      </c>
    </row>
    <row r="9" spans="1:5" x14ac:dyDescent="0.3">
      <c r="A9" s="80" t="s">
        <v>102</v>
      </c>
      <c r="B9" s="81" t="s">
        <v>147</v>
      </c>
      <c r="C9" s="30" t="s">
        <v>281</v>
      </c>
      <c r="D9" s="84" t="s">
        <v>282</v>
      </c>
      <c r="E9" s="30">
        <v>242738958</v>
      </c>
    </row>
    <row r="10" spans="1:5" x14ac:dyDescent="0.3">
      <c r="A10" s="78" t="s">
        <v>66</v>
      </c>
      <c r="B10" s="79" t="s">
        <v>68</v>
      </c>
      <c r="C10" s="34" t="s">
        <v>283</v>
      </c>
      <c r="D10" s="85" t="s">
        <v>284</v>
      </c>
      <c r="E10" s="34">
        <v>202077003</v>
      </c>
    </row>
    <row r="11" spans="1:5" x14ac:dyDescent="0.3">
      <c r="A11" s="80" t="s">
        <v>103</v>
      </c>
      <c r="B11" s="81" t="s">
        <v>148</v>
      </c>
      <c r="C11" s="34" t="s">
        <v>285</v>
      </c>
      <c r="D11" s="85" t="s">
        <v>286</v>
      </c>
      <c r="E11" s="34">
        <v>244134464</v>
      </c>
    </row>
    <row r="12" spans="1:5" x14ac:dyDescent="0.3">
      <c r="A12" s="78" t="s">
        <v>104</v>
      </c>
      <c r="B12" s="79" t="s">
        <v>149</v>
      </c>
      <c r="C12" s="30" t="s">
        <v>287</v>
      </c>
      <c r="D12" s="30" t="s">
        <v>288</v>
      </c>
      <c r="E12" s="30">
        <v>501603896</v>
      </c>
    </row>
    <row r="13" spans="1:5" x14ac:dyDescent="0.3">
      <c r="A13" s="80" t="s">
        <v>105</v>
      </c>
      <c r="B13" s="81" t="s">
        <v>150</v>
      </c>
      <c r="C13" s="30" t="s">
        <v>287</v>
      </c>
      <c r="D13" s="30" t="s">
        <v>288</v>
      </c>
      <c r="E13" s="30">
        <v>501603896</v>
      </c>
    </row>
    <row r="14" spans="1:5" x14ac:dyDescent="0.3">
      <c r="A14" s="78" t="s">
        <v>106</v>
      </c>
      <c r="B14" s="79" t="s">
        <v>151</v>
      </c>
      <c r="C14" s="30" t="s">
        <v>289</v>
      </c>
      <c r="D14" s="30" t="s">
        <v>290</v>
      </c>
      <c r="E14" s="30">
        <v>247833524</v>
      </c>
    </row>
    <row r="15" spans="1:5" x14ac:dyDescent="0.3">
      <c r="A15" s="80" t="s">
        <v>107</v>
      </c>
      <c r="B15" s="81" t="s">
        <v>152</v>
      </c>
      <c r="C15" s="34" t="s">
        <v>291</v>
      </c>
      <c r="D15" s="34" t="s">
        <v>292</v>
      </c>
      <c r="E15" s="33">
        <v>507307811</v>
      </c>
    </row>
    <row r="16" spans="1:5" x14ac:dyDescent="0.3">
      <c r="A16" s="78" t="s">
        <v>108</v>
      </c>
      <c r="B16" s="79" t="s">
        <v>153</v>
      </c>
      <c r="C16" s="30" t="s">
        <v>289</v>
      </c>
      <c r="D16" s="30" t="s">
        <v>290</v>
      </c>
      <c r="E16" s="30">
        <v>247833524</v>
      </c>
    </row>
  </sheetData>
  <mergeCells count="2">
    <mergeCell ref="A1:E1"/>
    <mergeCell ref="A2:E2"/>
  </mergeCells>
  <hyperlinks>
    <hyperlink ref="D4" r:id="rId1"/>
    <hyperlink ref="D5" r:id="rId2"/>
    <hyperlink ref="D6" r:id="rId3"/>
    <hyperlink ref="D8" r:id="rId4"/>
    <hyperlink ref="D10" r:id="rId5"/>
    <hyperlink ref="D11" r:id="rId6"/>
    <hyperlink ref="D9" r:id="rId7"/>
    <hyperlink ref="D7" r:id="rId8"/>
  </hyperlinks>
  <pageMargins left="0.75" right="0.75" top="1" bottom="1" header="0.511811023622047" footer="0.511811023622047"/>
  <pageSetup paperSize="9" orientation="portrait" horizontalDpi="300" verticalDpi="300"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1" width="42" customWidth="1"/>
    <col min="2" max="4" width="16" customWidth="1"/>
    <col min="5" max="5" width="32" customWidth="1"/>
    <col min="6" max="6" width="14" customWidth="1"/>
  </cols>
  <sheetData>
    <row r="1" spans="1:6" ht="31.5" customHeight="1" x14ac:dyDescent="0.3">
      <c r="A1" s="12" t="s">
        <v>154</v>
      </c>
      <c r="B1" s="12"/>
      <c r="C1" s="12"/>
      <c r="D1" s="12"/>
      <c r="E1" s="12"/>
      <c r="F1" s="12"/>
    </row>
    <row r="2" spans="1:6" ht="21.75" customHeight="1" x14ac:dyDescent="0.3">
      <c r="A2" s="11" t="s">
        <v>155</v>
      </c>
      <c r="B2" s="11"/>
      <c r="C2" s="11"/>
      <c r="D2" s="11"/>
      <c r="E2" s="11"/>
      <c r="F2" s="11"/>
    </row>
    <row r="4" spans="1:6" ht="31.5" customHeight="1" x14ac:dyDescent="0.3">
      <c r="A4" s="27" t="s">
        <v>29</v>
      </c>
      <c r="B4" s="27" t="s">
        <v>156</v>
      </c>
      <c r="C4" s="27" t="s">
        <v>142</v>
      </c>
      <c r="D4" s="27" t="s">
        <v>157</v>
      </c>
      <c r="E4" s="27" t="s">
        <v>158</v>
      </c>
      <c r="F4" s="27" t="s">
        <v>159</v>
      </c>
    </row>
    <row r="5" spans="1:6" x14ac:dyDescent="0.3">
      <c r="A5" s="81" t="s">
        <v>67</v>
      </c>
      <c r="B5" s="81" t="s">
        <v>160</v>
      </c>
      <c r="C5" s="81" t="s">
        <v>68</v>
      </c>
      <c r="D5" s="33" t="s">
        <v>66</v>
      </c>
      <c r="E5" s="81" t="s">
        <v>161</v>
      </c>
      <c r="F5" s="82">
        <v>38187</v>
      </c>
    </row>
    <row r="6" spans="1:6" x14ac:dyDescent="0.3">
      <c r="A6" s="79" t="s">
        <v>44</v>
      </c>
      <c r="B6" s="79" t="s">
        <v>160</v>
      </c>
      <c r="C6" s="79" t="s">
        <v>146</v>
      </c>
      <c r="D6" s="29" t="s">
        <v>42</v>
      </c>
      <c r="E6" s="79" t="s">
        <v>162</v>
      </c>
      <c r="F6" s="83">
        <v>35229</v>
      </c>
    </row>
    <row r="7" spans="1:6" x14ac:dyDescent="0.3">
      <c r="A7" s="81" t="s">
        <v>163</v>
      </c>
      <c r="B7" s="81" t="s">
        <v>160</v>
      </c>
      <c r="C7" s="81" t="s">
        <v>58</v>
      </c>
      <c r="D7" s="33" t="s">
        <v>55</v>
      </c>
      <c r="E7" s="81" t="s">
        <v>164</v>
      </c>
      <c r="F7" s="82">
        <v>85636</v>
      </c>
    </row>
    <row r="8" spans="1:6" x14ac:dyDescent="0.3">
      <c r="A8" s="79" t="s">
        <v>165</v>
      </c>
      <c r="B8" s="79" t="s">
        <v>160</v>
      </c>
      <c r="C8" s="79" t="s">
        <v>147</v>
      </c>
      <c r="D8" s="29" t="s">
        <v>101</v>
      </c>
      <c r="E8" s="79" t="s">
        <v>166</v>
      </c>
      <c r="F8" s="83">
        <v>59091</v>
      </c>
    </row>
    <row r="9" spans="1:6" x14ac:dyDescent="0.3">
      <c r="A9" s="81" t="s">
        <v>167</v>
      </c>
      <c r="B9" s="81" t="s">
        <v>160</v>
      </c>
      <c r="C9" s="81" t="s">
        <v>68</v>
      </c>
      <c r="D9" s="33" t="s">
        <v>66</v>
      </c>
      <c r="E9" s="81" t="s">
        <v>168</v>
      </c>
      <c r="F9" s="82">
        <v>47037</v>
      </c>
    </row>
    <row r="10" spans="1:6" x14ac:dyDescent="0.3">
      <c r="A10" s="79" t="s">
        <v>169</v>
      </c>
      <c r="B10" s="79" t="s">
        <v>160</v>
      </c>
      <c r="C10" s="79" t="s">
        <v>148</v>
      </c>
      <c r="D10" s="29" t="s">
        <v>103</v>
      </c>
      <c r="E10" s="79" t="s">
        <v>170</v>
      </c>
      <c r="F10" s="83">
        <v>19473</v>
      </c>
    </row>
    <row r="11" spans="1:6" x14ac:dyDescent="0.3">
      <c r="A11" s="81" t="s">
        <v>171</v>
      </c>
      <c r="B11" s="81" t="s">
        <v>160</v>
      </c>
      <c r="C11" s="81" t="s">
        <v>149</v>
      </c>
      <c r="D11" s="33" t="s">
        <v>104</v>
      </c>
      <c r="E11" s="81" t="s">
        <v>172</v>
      </c>
      <c r="F11" s="82">
        <v>31134</v>
      </c>
    </row>
    <row r="12" spans="1:6" x14ac:dyDescent="0.3">
      <c r="A12" s="79" t="s">
        <v>173</v>
      </c>
      <c r="B12" s="79" t="s">
        <v>160</v>
      </c>
      <c r="C12" s="79" t="s">
        <v>147</v>
      </c>
      <c r="D12" s="29" t="s">
        <v>102</v>
      </c>
      <c r="E12" s="79" t="s">
        <v>174</v>
      </c>
      <c r="F12" s="83">
        <v>39195</v>
      </c>
    </row>
    <row r="13" spans="1:6" x14ac:dyDescent="0.3">
      <c r="A13" s="81" t="s">
        <v>175</v>
      </c>
      <c r="B13" s="81" t="s">
        <v>160</v>
      </c>
      <c r="C13" s="81" t="s">
        <v>151</v>
      </c>
      <c r="D13" s="33" t="s">
        <v>106</v>
      </c>
      <c r="E13" s="81" t="s">
        <v>176</v>
      </c>
      <c r="F13" s="82">
        <v>3528</v>
      </c>
    </row>
    <row r="14" spans="1:6" x14ac:dyDescent="0.3">
      <c r="A14" s="79" t="s">
        <v>177</v>
      </c>
      <c r="B14" s="79" t="s">
        <v>160</v>
      </c>
      <c r="C14" s="79" t="s">
        <v>148</v>
      </c>
      <c r="D14" s="29" t="s">
        <v>103</v>
      </c>
      <c r="E14" s="79" t="s">
        <v>178</v>
      </c>
      <c r="F14" s="83">
        <v>18474</v>
      </c>
    </row>
    <row r="15" spans="1:6" x14ac:dyDescent="0.3">
      <c r="A15" s="81" t="s">
        <v>179</v>
      </c>
      <c r="B15" s="81" t="s">
        <v>160</v>
      </c>
      <c r="C15" s="81" t="s">
        <v>58</v>
      </c>
      <c r="D15" s="33" t="s">
        <v>55</v>
      </c>
      <c r="E15" s="81" t="s">
        <v>180</v>
      </c>
      <c r="F15" s="82">
        <v>30288</v>
      </c>
    </row>
    <row r="16" spans="1:6" x14ac:dyDescent="0.3">
      <c r="A16" s="79" t="s">
        <v>181</v>
      </c>
      <c r="B16" s="79" t="s">
        <v>160</v>
      </c>
      <c r="C16" s="79" t="s">
        <v>58</v>
      </c>
      <c r="D16" s="29" t="s">
        <v>100</v>
      </c>
      <c r="E16" s="79" t="s">
        <v>182</v>
      </c>
      <c r="F16" s="83">
        <v>23803</v>
      </c>
    </row>
    <row r="17" spans="1:6" x14ac:dyDescent="0.3">
      <c r="A17" s="81" t="s">
        <v>183</v>
      </c>
      <c r="B17" s="81" t="s">
        <v>160</v>
      </c>
      <c r="C17" s="81" t="s">
        <v>146</v>
      </c>
      <c r="D17" s="33" t="s">
        <v>99</v>
      </c>
      <c r="E17" s="81" t="s">
        <v>184</v>
      </c>
      <c r="F17" s="82">
        <v>28555</v>
      </c>
    </row>
    <row r="18" spans="1:6" x14ac:dyDescent="0.3">
      <c r="A18" s="79" t="s">
        <v>185</v>
      </c>
      <c r="B18" s="79" t="s">
        <v>160</v>
      </c>
      <c r="C18" s="79" t="s">
        <v>150</v>
      </c>
      <c r="D18" s="29" t="s">
        <v>105</v>
      </c>
      <c r="E18" s="79" t="s">
        <v>186</v>
      </c>
      <c r="F18" s="83">
        <v>17988</v>
      </c>
    </row>
    <row r="19" spans="1:6" x14ac:dyDescent="0.3">
      <c r="A19" s="81" t="s">
        <v>187</v>
      </c>
      <c r="B19" s="81" t="s">
        <v>160</v>
      </c>
      <c r="C19" s="81" t="s">
        <v>148</v>
      </c>
      <c r="D19" s="33" t="s">
        <v>99</v>
      </c>
      <c r="E19" s="81" t="s">
        <v>188</v>
      </c>
      <c r="F19" s="82">
        <v>6259</v>
      </c>
    </row>
    <row r="20" spans="1:6" x14ac:dyDescent="0.3">
      <c r="A20" s="79" t="s">
        <v>189</v>
      </c>
      <c r="B20" s="79" t="s">
        <v>160</v>
      </c>
      <c r="C20" s="79" t="s">
        <v>190</v>
      </c>
      <c r="D20" s="29" t="s">
        <v>101</v>
      </c>
      <c r="E20" s="79" t="s">
        <v>191</v>
      </c>
      <c r="F20" s="83">
        <v>20218</v>
      </c>
    </row>
    <row r="21" spans="1:6" x14ac:dyDescent="0.3">
      <c r="A21" s="81" t="s">
        <v>192</v>
      </c>
      <c r="B21" s="81" t="s">
        <v>160</v>
      </c>
      <c r="C21" s="81" t="s">
        <v>68</v>
      </c>
      <c r="D21" s="33" t="s">
        <v>66</v>
      </c>
      <c r="E21" s="81" t="s">
        <v>193</v>
      </c>
      <c r="F21" s="82">
        <v>22173</v>
      </c>
    </row>
    <row r="22" spans="1:6" x14ac:dyDescent="0.3">
      <c r="A22" s="79" t="s">
        <v>194</v>
      </c>
      <c r="B22" s="79" t="s">
        <v>160</v>
      </c>
      <c r="C22" s="79" t="s">
        <v>195</v>
      </c>
      <c r="D22" s="29" t="s">
        <v>104</v>
      </c>
      <c r="E22" s="79" t="s">
        <v>196</v>
      </c>
      <c r="F22" s="83">
        <v>11304</v>
      </c>
    </row>
    <row r="23" spans="1:6" x14ac:dyDescent="0.3">
      <c r="A23" s="81" t="s">
        <v>197</v>
      </c>
      <c r="B23" s="81" t="s">
        <v>160</v>
      </c>
      <c r="C23" s="81" t="s">
        <v>148</v>
      </c>
      <c r="D23" s="33" t="s">
        <v>103</v>
      </c>
      <c r="E23" s="81" t="s">
        <v>198</v>
      </c>
      <c r="F23" s="82">
        <v>6016</v>
      </c>
    </row>
    <row r="24" spans="1:6" x14ac:dyDescent="0.3">
      <c r="A24" s="79" t="s">
        <v>199</v>
      </c>
      <c r="B24" s="79" t="s">
        <v>160</v>
      </c>
      <c r="C24" s="79" t="s">
        <v>146</v>
      </c>
      <c r="D24" s="29" t="s">
        <v>42</v>
      </c>
      <c r="E24" s="79" t="s">
        <v>200</v>
      </c>
      <c r="F24" s="83">
        <v>31956</v>
      </c>
    </row>
    <row r="25" spans="1:6" x14ac:dyDescent="0.3">
      <c r="A25" s="81" t="s">
        <v>201</v>
      </c>
      <c r="B25" s="81" t="s">
        <v>160</v>
      </c>
      <c r="C25" s="81" t="s">
        <v>152</v>
      </c>
      <c r="D25" s="33" t="s">
        <v>107</v>
      </c>
      <c r="E25" s="81" t="s">
        <v>202</v>
      </c>
      <c r="F25" s="82">
        <v>4826</v>
      </c>
    </row>
    <row r="26" spans="1:6" x14ac:dyDescent="0.3">
      <c r="A26" s="79" t="s">
        <v>203</v>
      </c>
      <c r="B26" s="79" t="s">
        <v>57</v>
      </c>
      <c r="C26" s="79" t="s">
        <v>148</v>
      </c>
      <c r="D26" s="29" t="s">
        <v>103</v>
      </c>
      <c r="E26" s="79" t="s">
        <v>204</v>
      </c>
      <c r="F26" s="79"/>
    </row>
    <row r="27" spans="1:6" x14ac:dyDescent="0.3">
      <c r="A27" s="81" t="s">
        <v>205</v>
      </c>
      <c r="B27" s="81" t="s">
        <v>57</v>
      </c>
      <c r="C27" s="81" t="s">
        <v>206</v>
      </c>
      <c r="D27" s="33" t="s">
        <v>106</v>
      </c>
      <c r="E27" s="81" t="s">
        <v>207</v>
      </c>
      <c r="F27" s="81"/>
    </row>
    <row r="28" spans="1:6" x14ac:dyDescent="0.3">
      <c r="A28" s="79" t="s">
        <v>208</v>
      </c>
      <c r="B28" s="79" t="s">
        <v>57</v>
      </c>
      <c r="C28" s="79" t="s">
        <v>209</v>
      </c>
      <c r="D28" s="29" t="s">
        <v>106</v>
      </c>
      <c r="E28" s="79" t="s">
        <v>210</v>
      </c>
      <c r="F28" s="79"/>
    </row>
    <row r="29" spans="1:6" x14ac:dyDescent="0.3">
      <c r="A29" s="81" t="s">
        <v>211</v>
      </c>
      <c r="B29" s="81" t="s">
        <v>57</v>
      </c>
      <c r="C29" s="81" t="s">
        <v>150</v>
      </c>
      <c r="D29" s="33" t="s">
        <v>105</v>
      </c>
      <c r="E29" s="81" t="s">
        <v>212</v>
      </c>
      <c r="F29" s="81"/>
    </row>
    <row r="30" spans="1:6" x14ac:dyDescent="0.3">
      <c r="A30" s="79" t="s">
        <v>213</v>
      </c>
      <c r="B30" s="79" t="s">
        <v>57</v>
      </c>
      <c r="C30" s="79" t="s">
        <v>214</v>
      </c>
      <c r="D30" s="29" t="s">
        <v>104</v>
      </c>
      <c r="E30" s="79" t="s">
        <v>215</v>
      </c>
      <c r="F30" s="79"/>
    </row>
    <row r="31" spans="1:6" x14ac:dyDescent="0.3">
      <c r="A31" s="81" t="s">
        <v>216</v>
      </c>
      <c r="B31" s="81" t="s">
        <v>57</v>
      </c>
      <c r="C31" s="81" t="s">
        <v>217</v>
      </c>
      <c r="D31" s="33" t="s">
        <v>104</v>
      </c>
      <c r="E31" s="81" t="s">
        <v>218</v>
      </c>
      <c r="F31" s="81"/>
    </row>
    <row r="32" spans="1:6" x14ac:dyDescent="0.3">
      <c r="A32" s="79" t="s">
        <v>219</v>
      </c>
      <c r="B32" s="79" t="s">
        <v>57</v>
      </c>
      <c r="C32" s="79" t="s">
        <v>220</v>
      </c>
      <c r="D32" s="29" t="s">
        <v>55</v>
      </c>
      <c r="E32" s="79" t="s">
        <v>221</v>
      </c>
      <c r="F32" s="79"/>
    </row>
    <row r="33" spans="1:6" x14ac:dyDescent="0.3">
      <c r="A33" s="81" t="s">
        <v>222</v>
      </c>
      <c r="B33" s="81" t="s">
        <v>57</v>
      </c>
      <c r="C33" s="81" t="s">
        <v>223</v>
      </c>
      <c r="D33" s="33" t="s">
        <v>104</v>
      </c>
      <c r="E33" s="81" t="s">
        <v>224</v>
      </c>
      <c r="F33" s="81"/>
    </row>
    <row r="34" spans="1:6" x14ac:dyDescent="0.3">
      <c r="A34" s="79" t="s">
        <v>225</v>
      </c>
      <c r="B34" s="79" t="s">
        <v>57</v>
      </c>
      <c r="C34" s="79" t="s">
        <v>220</v>
      </c>
      <c r="D34" s="29" t="s">
        <v>55</v>
      </c>
      <c r="E34" s="79" t="s">
        <v>226</v>
      </c>
      <c r="F34" s="79"/>
    </row>
    <row r="35" spans="1:6" x14ac:dyDescent="0.3">
      <c r="A35" s="81" t="s">
        <v>227</v>
      </c>
      <c r="B35" s="81" t="s">
        <v>57</v>
      </c>
      <c r="C35" s="81" t="s">
        <v>220</v>
      </c>
      <c r="D35" s="33" t="s">
        <v>55</v>
      </c>
      <c r="E35" s="81" t="s">
        <v>228</v>
      </c>
      <c r="F35" s="81"/>
    </row>
    <row r="36" spans="1:6" x14ac:dyDescent="0.3">
      <c r="A36" s="79" t="s">
        <v>229</v>
      </c>
      <c r="B36" s="79" t="s">
        <v>57</v>
      </c>
      <c r="C36" s="79" t="s">
        <v>220</v>
      </c>
      <c r="D36" s="29" t="s">
        <v>55</v>
      </c>
      <c r="E36" s="79" t="s">
        <v>230</v>
      </c>
      <c r="F36" s="79"/>
    </row>
    <row r="37" spans="1:6" x14ac:dyDescent="0.3">
      <c r="A37" s="81" t="s">
        <v>231</v>
      </c>
      <c r="B37" s="81" t="s">
        <v>57</v>
      </c>
      <c r="C37" s="81" t="s">
        <v>220</v>
      </c>
      <c r="D37" s="33" t="s">
        <v>55</v>
      </c>
      <c r="E37" s="81" t="s">
        <v>232</v>
      </c>
      <c r="F37" s="81"/>
    </row>
    <row r="38" spans="1:6" x14ac:dyDescent="0.3">
      <c r="A38" s="79" t="s">
        <v>56</v>
      </c>
      <c r="B38" s="79" t="s">
        <v>57</v>
      </c>
      <c r="C38" s="79" t="s">
        <v>220</v>
      </c>
      <c r="D38" s="29" t="s">
        <v>55</v>
      </c>
      <c r="E38" s="79" t="s">
        <v>233</v>
      </c>
      <c r="F38" s="79"/>
    </row>
    <row r="39" spans="1:6" x14ac:dyDescent="0.3">
      <c r="A39" s="81" t="s">
        <v>234</v>
      </c>
      <c r="B39" s="81" t="s">
        <v>57</v>
      </c>
      <c r="C39" s="81" t="s">
        <v>220</v>
      </c>
      <c r="D39" s="33" t="s">
        <v>55</v>
      </c>
      <c r="E39" s="81" t="s">
        <v>235</v>
      </c>
      <c r="F39" s="81"/>
    </row>
    <row r="40" spans="1:6" x14ac:dyDescent="0.3">
      <c r="A40" s="79" t="s">
        <v>236</v>
      </c>
      <c r="B40" s="79" t="s">
        <v>57</v>
      </c>
      <c r="C40" s="79" t="s">
        <v>220</v>
      </c>
      <c r="D40" s="29" t="s">
        <v>55</v>
      </c>
      <c r="E40" s="79" t="s">
        <v>237</v>
      </c>
      <c r="F40" s="79"/>
    </row>
    <row r="41" spans="1:6" x14ac:dyDescent="0.3">
      <c r="A41" s="81" t="s">
        <v>238</v>
      </c>
      <c r="B41" s="81" t="s">
        <v>57</v>
      </c>
      <c r="C41" s="81" t="s">
        <v>220</v>
      </c>
      <c r="D41" s="33" t="s">
        <v>55</v>
      </c>
      <c r="E41" s="81" t="s">
        <v>239</v>
      </c>
      <c r="F41" s="81"/>
    </row>
    <row r="42" spans="1:6" x14ac:dyDescent="0.3">
      <c r="A42" s="79" t="s">
        <v>240</v>
      </c>
      <c r="B42" s="79" t="s">
        <v>57</v>
      </c>
      <c r="C42" s="79" t="s">
        <v>220</v>
      </c>
      <c r="D42" s="29" t="s">
        <v>55</v>
      </c>
      <c r="E42" s="79" t="s">
        <v>241</v>
      </c>
      <c r="F42" s="79"/>
    </row>
    <row r="43" spans="1:6" x14ac:dyDescent="0.3">
      <c r="A43" s="81" t="s">
        <v>242</v>
      </c>
      <c r="B43" s="81" t="s">
        <v>57</v>
      </c>
      <c r="C43" s="81" t="s">
        <v>220</v>
      </c>
      <c r="D43" s="33" t="s">
        <v>55</v>
      </c>
      <c r="E43" s="81" t="s">
        <v>243</v>
      </c>
      <c r="F43" s="81"/>
    </row>
    <row r="44" spans="1:6" x14ac:dyDescent="0.3">
      <c r="A44" s="79" t="s">
        <v>244</v>
      </c>
      <c r="B44" s="79" t="s">
        <v>57</v>
      </c>
      <c r="C44" s="79" t="s">
        <v>220</v>
      </c>
      <c r="D44" s="29" t="s">
        <v>55</v>
      </c>
      <c r="E44" s="79" t="s">
        <v>245</v>
      </c>
      <c r="F44" s="79"/>
    </row>
    <row r="45" spans="1:6" x14ac:dyDescent="0.3">
      <c r="A45" s="81" t="s">
        <v>246</v>
      </c>
      <c r="B45" s="81" t="s">
        <v>57</v>
      </c>
      <c r="C45" s="81" t="s">
        <v>247</v>
      </c>
      <c r="D45" s="33" t="s">
        <v>103</v>
      </c>
      <c r="E45" s="81" t="s">
        <v>248</v>
      </c>
      <c r="F45" s="81"/>
    </row>
    <row r="46" spans="1:6" x14ac:dyDescent="0.3">
      <c r="A46" s="79" t="s">
        <v>249</v>
      </c>
      <c r="B46" s="79" t="s">
        <v>57</v>
      </c>
      <c r="C46" s="79" t="s">
        <v>247</v>
      </c>
      <c r="D46" s="29" t="s">
        <v>103</v>
      </c>
      <c r="E46" s="79" t="s">
        <v>250</v>
      </c>
      <c r="F46" s="79"/>
    </row>
    <row r="47" spans="1:6" x14ac:dyDescent="0.3">
      <c r="A47" s="81" t="s">
        <v>251</v>
      </c>
      <c r="B47" s="81" t="s">
        <v>57</v>
      </c>
      <c r="C47" s="81" t="s">
        <v>252</v>
      </c>
      <c r="D47" s="33" t="s">
        <v>101</v>
      </c>
      <c r="E47" s="81" t="s">
        <v>253</v>
      </c>
      <c r="F47" s="81"/>
    </row>
    <row r="48" spans="1:6" x14ac:dyDescent="0.3">
      <c r="A48" s="79" t="s">
        <v>254</v>
      </c>
      <c r="B48" s="79" t="s">
        <v>57</v>
      </c>
      <c r="C48" s="79" t="s">
        <v>252</v>
      </c>
      <c r="D48" s="29" t="s">
        <v>101</v>
      </c>
      <c r="E48" s="79" t="s">
        <v>255</v>
      </c>
      <c r="F48" s="79"/>
    </row>
    <row r="49" spans="1:6" x14ac:dyDescent="0.3">
      <c r="A49" s="81" t="s">
        <v>256</v>
      </c>
      <c r="B49" s="81" t="s">
        <v>57</v>
      </c>
      <c r="C49" s="81" t="s">
        <v>252</v>
      </c>
      <c r="D49" s="33" t="s">
        <v>101</v>
      </c>
      <c r="E49" s="81" t="s">
        <v>257</v>
      </c>
      <c r="F49" s="81"/>
    </row>
    <row r="50" spans="1:6" x14ac:dyDescent="0.3">
      <c r="A50" s="79" t="s">
        <v>258</v>
      </c>
      <c r="B50" s="79" t="s">
        <v>57</v>
      </c>
      <c r="C50" s="79" t="s">
        <v>252</v>
      </c>
      <c r="D50" s="29" t="s">
        <v>101</v>
      </c>
      <c r="E50" s="79" t="s">
        <v>259</v>
      </c>
      <c r="F50" s="79"/>
    </row>
    <row r="51" spans="1:6" x14ac:dyDescent="0.3">
      <c r="A51" s="81" t="s">
        <v>260</v>
      </c>
      <c r="B51" s="81" t="s">
        <v>57</v>
      </c>
      <c r="C51" s="81" t="s">
        <v>214</v>
      </c>
      <c r="D51" s="33" t="s">
        <v>104</v>
      </c>
      <c r="E51" s="81" t="s">
        <v>261</v>
      </c>
      <c r="F51" s="81"/>
    </row>
  </sheetData>
  <autoFilter ref="A4:F51"/>
  <mergeCells count="2">
    <mergeCell ref="A1:F1"/>
    <mergeCell ref="A2:F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zoomScaleNormal="100" workbookViewId="0"/>
  </sheetViews>
  <sheetFormatPr defaultColWidth="8.6640625" defaultRowHeight="14.4" x14ac:dyDescent="0.3"/>
  <sheetData>
    <row r="1" spans="1:7" x14ac:dyDescent="0.3">
      <c r="A1" s="37" t="s">
        <v>262</v>
      </c>
      <c r="B1" s="37" t="s">
        <v>263</v>
      </c>
      <c r="C1" s="37" t="s">
        <v>264</v>
      </c>
      <c r="D1" s="37" t="s">
        <v>265</v>
      </c>
      <c r="E1" s="37" t="s">
        <v>39</v>
      </c>
      <c r="F1" s="37" t="s">
        <v>266</v>
      </c>
      <c r="G1" s="37" t="s">
        <v>40</v>
      </c>
    </row>
    <row r="2" spans="1:7" x14ac:dyDescent="0.3">
      <c r="A2" t="s">
        <v>44</v>
      </c>
      <c r="B2" t="s">
        <v>42</v>
      </c>
      <c r="C2" t="s">
        <v>113</v>
      </c>
      <c r="D2" t="s">
        <v>114</v>
      </c>
      <c r="E2" t="s">
        <v>267</v>
      </c>
      <c r="F2" t="s">
        <v>45</v>
      </c>
      <c r="G2" t="s">
        <v>53</v>
      </c>
    </row>
    <row r="3" spans="1:7" x14ac:dyDescent="0.3">
      <c r="A3" t="s">
        <v>67</v>
      </c>
      <c r="B3" t="s">
        <v>99</v>
      </c>
      <c r="C3" t="s">
        <v>47</v>
      </c>
      <c r="D3" t="s">
        <v>115</v>
      </c>
      <c r="E3" t="s">
        <v>64</v>
      </c>
      <c r="F3" t="s">
        <v>268</v>
      </c>
      <c r="G3" t="s">
        <v>74</v>
      </c>
    </row>
    <row r="4" spans="1:7" x14ac:dyDescent="0.3">
      <c r="A4" t="s">
        <v>179</v>
      </c>
      <c r="B4" t="s">
        <v>55</v>
      </c>
      <c r="C4" t="s">
        <v>59</v>
      </c>
      <c r="D4" t="s">
        <v>51</v>
      </c>
      <c r="E4" t="s">
        <v>20</v>
      </c>
      <c r="F4" t="s">
        <v>269</v>
      </c>
      <c r="G4" t="s">
        <v>270</v>
      </c>
    </row>
    <row r="5" spans="1:7" x14ac:dyDescent="0.3">
      <c r="A5" t="s">
        <v>192</v>
      </c>
      <c r="B5" t="s">
        <v>100</v>
      </c>
      <c r="C5" t="s">
        <v>116</v>
      </c>
      <c r="D5" t="s">
        <v>117</v>
      </c>
      <c r="E5" t="s">
        <v>94</v>
      </c>
      <c r="F5" t="s">
        <v>57</v>
      </c>
    </row>
    <row r="6" spans="1:7" x14ac:dyDescent="0.3">
      <c r="A6" t="s">
        <v>194</v>
      </c>
      <c r="B6" t="s">
        <v>101</v>
      </c>
      <c r="C6" t="s">
        <v>69</v>
      </c>
      <c r="D6" t="s">
        <v>62</v>
      </c>
      <c r="E6" t="s">
        <v>271</v>
      </c>
      <c r="F6" t="s">
        <v>272</v>
      </c>
    </row>
    <row r="7" spans="1:7" x14ac:dyDescent="0.3">
      <c r="A7" t="s">
        <v>201</v>
      </c>
      <c r="B7" t="s">
        <v>102</v>
      </c>
      <c r="C7" t="s">
        <v>118</v>
      </c>
      <c r="D7" t="s">
        <v>72</v>
      </c>
      <c r="E7" t="s">
        <v>273</v>
      </c>
      <c r="F7" t="s">
        <v>274</v>
      </c>
    </row>
    <row r="8" spans="1:7" x14ac:dyDescent="0.3">
      <c r="A8" t="s">
        <v>169</v>
      </c>
      <c r="B8" t="s">
        <v>66</v>
      </c>
      <c r="C8" t="s">
        <v>119</v>
      </c>
      <c r="D8" t="s">
        <v>120</v>
      </c>
    </row>
    <row r="9" spans="1:7" x14ac:dyDescent="0.3">
      <c r="A9" t="s">
        <v>163</v>
      </c>
      <c r="B9" t="s">
        <v>103</v>
      </c>
      <c r="C9" t="s">
        <v>121</v>
      </c>
      <c r="D9" t="s">
        <v>122</v>
      </c>
    </row>
    <row r="10" spans="1:7" x14ac:dyDescent="0.3">
      <c r="A10" t="s">
        <v>203</v>
      </c>
      <c r="B10" t="s">
        <v>104</v>
      </c>
      <c r="C10" t="s">
        <v>123</v>
      </c>
      <c r="D10" t="s">
        <v>124</v>
      </c>
    </row>
    <row r="11" spans="1:7" x14ac:dyDescent="0.3">
      <c r="A11" t="s">
        <v>56</v>
      </c>
      <c r="B11" t="s">
        <v>105</v>
      </c>
      <c r="C11" t="s">
        <v>125</v>
      </c>
      <c r="D11" t="s">
        <v>126</v>
      </c>
    </row>
    <row r="12" spans="1:7" x14ac:dyDescent="0.3">
      <c r="A12" t="s">
        <v>234</v>
      </c>
      <c r="B12" t="s">
        <v>106</v>
      </c>
      <c r="C12" t="s">
        <v>127</v>
      </c>
      <c r="D12" t="s">
        <v>128</v>
      </c>
    </row>
    <row r="13" spans="1:7" x14ac:dyDescent="0.3">
      <c r="A13" t="s">
        <v>211</v>
      </c>
      <c r="B13" t="s">
        <v>107</v>
      </c>
      <c r="C13" t="s">
        <v>129</v>
      </c>
    </row>
    <row r="14" spans="1:7" x14ac:dyDescent="0.3">
      <c r="A14" t="s">
        <v>222</v>
      </c>
      <c r="B14" t="s">
        <v>108</v>
      </c>
      <c r="C14" t="s">
        <v>130</v>
      </c>
    </row>
    <row r="15" spans="1:7" x14ac:dyDescent="0.3">
      <c r="A15" t="s">
        <v>251</v>
      </c>
      <c r="C15" t="s">
        <v>131</v>
      </c>
    </row>
    <row r="16" spans="1:7" x14ac:dyDescent="0.3">
      <c r="A16" t="s">
        <v>227</v>
      </c>
      <c r="C16" t="s">
        <v>132</v>
      </c>
    </row>
    <row r="17" spans="1:1" x14ac:dyDescent="0.3">
      <c r="A17" t="s">
        <v>225</v>
      </c>
    </row>
    <row r="18" spans="1:1" x14ac:dyDescent="0.3">
      <c r="A18" t="s">
        <v>219</v>
      </c>
    </row>
    <row r="19" spans="1:1" x14ac:dyDescent="0.3">
      <c r="A19" t="s">
        <v>231</v>
      </c>
    </row>
    <row r="20" spans="1:1" x14ac:dyDescent="0.3">
      <c r="A20" t="s">
        <v>256</v>
      </c>
    </row>
    <row r="21" spans="1:1" x14ac:dyDescent="0.3">
      <c r="A21" t="s">
        <v>240</v>
      </c>
    </row>
    <row r="22" spans="1:1" x14ac:dyDescent="0.3">
      <c r="A22" t="s">
        <v>258</v>
      </c>
    </row>
    <row r="23" spans="1:1" x14ac:dyDescent="0.3">
      <c r="A23" t="s">
        <v>244</v>
      </c>
    </row>
    <row r="24" spans="1:1" x14ac:dyDescent="0.3">
      <c r="A24" t="s">
        <v>213</v>
      </c>
    </row>
    <row r="25" spans="1:1" x14ac:dyDescent="0.3">
      <c r="A25" t="s">
        <v>249</v>
      </c>
    </row>
    <row r="26" spans="1:1" x14ac:dyDescent="0.3">
      <c r="A26" t="s">
        <v>260</v>
      </c>
    </row>
    <row r="27" spans="1:1" x14ac:dyDescent="0.3">
      <c r="A27" t="s">
        <v>242</v>
      </c>
    </row>
    <row r="28" spans="1:1" x14ac:dyDescent="0.3">
      <c r="A28" t="s">
        <v>205</v>
      </c>
    </row>
    <row r="29" spans="1:1" x14ac:dyDescent="0.3">
      <c r="A29" t="s">
        <v>238</v>
      </c>
    </row>
    <row r="30" spans="1:1" x14ac:dyDescent="0.3">
      <c r="A30" t="s">
        <v>246</v>
      </c>
    </row>
    <row r="31" spans="1:1" x14ac:dyDescent="0.3">
      <c r="A31" t="s">
        <v>236</v>
      </c>
    </row>
    <row r="32" spans="1:1" x14ac:dyDescent="0.3">
      <c r="A32" t="s">
        <v>229</v>
      </c>
    </row>
    <row r="33" spans="1:1" x14ac:dyDescent="0.3">
      <c r="A33" t="s">
        <v>254</v>
      </c>
    </row>
    <row r="34" spans="1:1" x14ac:dyDescent="0.3">
      <c r="A34" t="s">
        <v>216</v>
      </c>
    </row>
    <row r="35" spans="1:1" x14ac:dyDescent="0.3">
      <c r="A35" t="s">
        <v>208</v>
      </c>
    </row>
    <row r="36" spans="1:1" x14ac:dyDescent="0.3">
      <c r="A36" t="s">
        <v>197</v>
      </c>
    </row>
    <row r="37" spans="1:1" x14ac:dyDescent="0.3">
      <c r="A37" t="s">
        <v>199</v>
      </c>
    </row>
    <row r="38" spans="1:1" x14ac:dyDescent="0.3">
      <c r="A38" t="s">
        <v>181</v>
      </c>
    </row>
    <row r="39" spans="1:1" x14ac:dyDescent="0.3">
      <c r="A39" t="s">
        <v>177</v>
      </c>
    </row>
    <row r="40" spans="1:1" x14ac:dyDescent="0.3">
      <c r="A40" t="s">
        <v>189</v>
      </c>
    </row>
    <row r="41" spans="1:1" x14ac:dyDescent="0.3">
      <c r="A41" t="s">
        <v>165</v>
      </c>
    </row>
    <row r="42" spans="1:1" x14ac:dyDescent="0.3">
      <c r="A42" t="s">
        <v>187</v>
      </c>
    </row>
    <row r="43" spans="1:1" x14ac:dyDescent="0.3">
      <c r="A43" t="s">
        <v>171</v>
      </c>
    </row>
    <row r="44" spans="1:1" x14ac:dyDescent="0.3">
      <c r="A44" t="s">
        <v>175</v>
      </c>
    </row>
    <row r="45" spans="1:1" x14ac:dyDescent="0.3">
      <c r="A45" t="s">
        <v>173</v>
      </c>
    </row>
    <row r="46" spans="1:1" x14ac:dyDescent="0.3">
      <c r="A46" t="s">
        <v>183</v>
      </c>
    </row>
    <row r="47" spans="1:1" x14ac:dyDescent="0.3">
      <c r="A47" t="s">
        <v>185</v>
      </c>
    </row>
    <row r="48" spans="1:1" x14ac:dyDescent="0.3">
      <c r="A48" t="s">
        <v>167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Engagement Log</vt:lpstr>
      <vt:lpstr>Dashboard</vt:lpstr>
      <vt:lpstr>Branch Heatmap</vt:lpstr>
      <vt:lpstr>Calendar View</vt:lpstr>
      <vt:lpstr>Branches &amp; Managers</vt:lpstr>
      <vt:lpstr>Institutions Directory</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IT OFFICER</cp:lastModifiedBy>
  <cp:revision>1</cp:revision>
  <dcterms:created xsi:type="dcterms:W3CDTF">2026-05-19T09:02:23Z</dcterms:created>
  <dcterms:modified xsi:type="dcterms:W3CDTF">2026-06-23T12:18:59Z</dcterms:modified>
  <dc:language>en-US</dc:language>
</cp:coreProperties>
</file>